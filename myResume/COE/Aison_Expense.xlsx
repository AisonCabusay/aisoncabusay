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on.cabusay\OneDrive - Accenture\"/>
    </mc:Choice>
  </mc:AlternateContent>
  <xr:revisionPtr revIDLastSave="0" documentId="13_ncr:1_{3FF0B4F8-FC21-4FB3-A598-9493A20598D4}" xr6:coauthVersionLast="47" xr6:coauthVersionMax="47" xr10:uidLastSave="{00000000-0000-0000-0000-000000000000}"/>
  <bookViews>
    <workbookView xWindow="-108" yWindow="-108" windowWidth="23256" windowHeight="12456" firstSheet="1" activeTab="2" xr2:uid="{8636E1A2-E269-46A8-B2F0-5BFBBD34C9B4}"/>
  </bookViews>
  <sheets>
    <sheet name="Expence" sheetId="1" state="hidden" r:id="rId1"/>
    <sheet name="Monthly Budget" sheetId="10" r:id="rId2"/>
    <sheet name="Sheet7" sheetId="18" r:id="rId3"/>
    <sheet name="Sheet5" sheetId="16" r:id="rId4"/>
    <sheet name="Sheet4" sheetId="15" r:id="rId5"/>
    <sheet name="Sheet2" sheetId="14" r:id="rId6"/>
    <sheet name="Sheet3" sheetId="12" state="hidden" r:id="rId7"/>
    <sheet name="January" sheetId="6" r:id="rId8"/>
    <sheet name="Sheet6" sheetId="17" r:id="rId9"/>
    <sheet name="BILLS" sheetId="11" r:id="rId10"/>
    <sheet name="PAULA" sheetId="13" r:id="rId11"/>
    <sheet name="18000 Budgeting" sheetId="8" state="hidden" r:id="rId12"/>
    <sheet name="Sheet1" sheetId="7" state="hidden" r:id="rId13"/>
    <sheet name="DoneNovember" sheetId="5" state="hidden" r:id="rId14"/>
    <sheet name="September Allowance Computation" sheetId="2" state="hidden" r:id="rId15"/>
    <sheet name="Year End Setellement" sheetId="4" state="hidden" r:id="rId16"/>
    <sheet name="Salary Computation" sheetId="3" state="hidden" r:id="rId17"/>
    <sheet name="8500 Budgeting (2)" sheetId="9" state="hidden" r:id="rId18"/>
  </sheets>
  <externalReferences>
    <externalReference r:id="rId19"/>
  </externalReferences>
  <definedNames>
    <definedName name="_xlnm.Print_Area" localSheetId="16">'Salary Computation'!$A$1:$E$15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E5" i="16"/>
  <c r="C2" i="16" s="1"/>
  <c r="C4" i="16" s="1"/>
  <c r="A1" i="17"/>
  <c r="C6" i="17"/>
  <c r="A6" i="17"/>
  <c r="E20" i="10"/>
  <c r="D8" i="10"/>
  <c r="D18" i="10" s="1"/>
  <c r="D22" i="10" s="1"/>
  <c r="K10" i="15"/>
  <c r="K11" i="15"/>
  <c r="K12" i="15"/>
  <c r="K13" i="15"/>
  <c r="K14" i="15"/>
  <c r="K15" i="15"/>
  <c r="K16" i="15"/>
  <c r="K9" i="15"/>
  <c r="I13" i="15"/>
  <c r="I11" i="15"/>
  <c r="I9" i="15"/>
  <c r="I12" i="15"/>
  <c r="I10" i="15"/>
  <c r="B9" i="15"/>
  <c r="B3" i="15" s="1"/>
  <c r="K7" i="15"/>
  <c r="L7" i="15"/>
  <c r="J7" i="15"/>
  <c r="E18" i="10"/>
  <c r="L2" i="13"/>
  <c r="K2" i="13"/>
  <c r="G4" i="13"/>
  <c r="G2" i="13"/>
  <c r="G3" i="13"/>
  <c r="B11" i="13"/>
  <c r="B9" i="13"/>
  <c r="G1" i="13" s="1"/>
  <c r="C22" i="6"/>
  <c r="C18" i="6"/>
  <c r="D3" i="6"/>
  <c r="F13" i="6"/>
  <c r="D13" i="6" s="1"/>
  <c r="D18" i="6" s="1"/>
  <c r="D22" i="6" s="1"/>
  <c r="H20" i="11"/>
  <c r="H22" i="11" s="1"/>
  <c r="C7" i="11"/>
  <c r="C6" i="11"/>
  <c r="C5" i="11"/>
  <c r="C3" i="11"/>
  <c r="C4" i="11"/>
  <c r="K26" i="6"/>
  <c r="M27" i="6"/>
  <c r="M26" i="6"/>
  <c r="C13" i="11"/>
  <c r="E19" i="11"/>
  <c r="B16" i="11"/>
  <c r="R27" i="6"/>
  <c r="R24" i="6"/>
  <c r="E22" i="10" l="1"/>
  <c r="C9" i="11"/>
  <c r="D9" i="11" s="1"/>
  <c r="B9" i="11"/>
  <c r="D4" i="11"/>
  <c r="D5" i="11"/>
  <c r="D6" i="11"/>
  <c r="D7" i="11"/>
  <c r="D3" i="11"/>
  <c r="O12" i="6"/>
  <c r="E33" i="6"/>
  <c r="C35" i="6"/>
  <c r="E35" i="6" s="1"/>
  <c r="C34" i="6"/>
  <c r="E34" i="6" s="1"/>
  <c r="R43" i="6"/>
  <c r="U31" i="6"/>
  <c r="U36" i="6" s="1"/>
  <c r="V36" i="6" s="1"/>
  <c r="R22" i="6"/>
  <c r="R20" i="6"/>
  <c r="C32" i="6"/>
  <c r="C31" i="6" l="1"/>
  <c r="E31" i="6" s="1"/>
  <c r="E37" i="6" s="1"/>
  <c r="R25" i="6"/>
  <c r="R4" i="6"/>
  <c r="R12" i="9" l="1"/>
  <c r="K21" i="9"/>
  <c r="J21" i="9"/>
  <c r="J23" i="9" s="1"/>
  <c r="O19" i="9"/>
  <c r="K17" i="9"/>
  <c r="J17" i="9"/>
  <c r="C16" i="9"/>
  <c r="E16" i="9" s="1"/>
  <c r="O12" i="9"/>
  <c r="C6" i="9"/>
  <c r="B6" i="9"/>
  <c r="E6" i="9" s="1"/>
  <c r="O19" i="8"/>
  <c r="O12" i="8"/>
  <c r="K17" i="8"/>
  <c r="K21" i="8" s="1"/>
  <c r="J17" i="8"/>
  <c r="J21" i="8" s="1"/>
  <c r="E18" i="8"/>
  <c r="E20" i="8" s="1"/>
  <c r="C16" i="8"/>
  <c r="E16" i="8" s="1"/>
  <c r="C6" i="8"/>
  <c r="B6" i="8"/>
  <c r="E6" i="8" s="1"/>
  <c r="E23" i="8" l="1"/>
  <c r="Q12" i="8" s="1"/>
  <c r="F20" i="8"/>
  <c r="F23" i="8" s="1"/>
  <c r="E18" i="9"/>
  <c r="E20" i="9" s="1"/>
  <c r="F20" i="9" s="1"/>
  <c r="F23" i="9" s="1"/>
  <c r="J23" i="8"/>
  <c r="E23" i="9" l="1"/>
  <c r="Q12" i="9" s="1"/>
  <c r="R26" i="6" l="1"/>
  <c r="S6" i="6" l="1"/>
  <c r="R2" i="6"/>
  <c r="X2" i="6" s="1"/>
  <c r="W4" i="6" s="1"/>
  <c r="F38" i="5" l="1"/>
  <c r="H18" i="5"/>
  <c r="H20" i="5"/>
  <c r="P22" i="5"/>
  <c r="B20" i="5"/>
  <c r="N39" i="5"/>
  <c r="N31" i="5"/>
  <c r="J3" i="4" l="1"/>
  <c r="H26" i="5"/>
  <c r="K7" i="7"/>
  <c r="F6" i="7"/>
  <c r="F4" i="7"/>
  <c r="F3" i="7"/>
  <c r="B4" i="7"/>
  <c r="K27" i="5"/>
  <c r="K12" i="5"/>
  <c r="G5" i="5"/>
  <c r="G16" i="5" s="1"/>
  <c r="J22" i="5"/>
  <c r="B22" i="5"/>
  <c r="G32" i="5"/>
  <c r="H16" i="5"/>
  <c r="B6" i="5"/>
  <c r="M3" i="4"/>
  <c r="C18" i="1"/>
  <c r="Q3" i="4"/>
  <c r="Q10" i="4"/>
  <c r="M7" i="1"/>
  <c r="M5" i="4"/>
  <c r="M10" i="4"/>
  <c r="E18" i="1"/>
  <c r="B56" i="4"/>
  <c r="J8" i="4"/>
  <c r="J16" i="5" l="1"/>
  <c r="H32" i="5"/>
  <c r="I35" i="5" s="1"/>
  <c r="C8" i="4"/>
  <c r="D8" i="4" s="1"/>
  <c r="B28" i="4"/>
  <c r="C10" i="4"/>
  <c r="D10" i="4" s="1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" i="4"/>
  <c r="D6" i="4"/>
  <c r="D7" i="4"/>
  <c r="D9" i="4"/>
  <c r="D4" i="4"/>
  <c r="B8" i="3"/>
  <c r="A9" i="3" s="1"/>
  <c r="B9" i="3" s="1"/>
  <c r="C8" i="2"/>
  <c r="B9" i="2" s="1"/>
  <c r="C9" i="2" s="1"/>
  <c r="D18" i="1"/>
  <c r="D12" i="4" l="1"/>
  <c r="D55" i="4"/>
  <c r="C12" i="4"/>
  <c r="A10" i="3"/>
  <c r="B11" i="2"/>
  <c r="C11" i="2" s="1"/>
  <c r="B12" i="2" s="1"/>
  <c r="C12" i="2" s="1"/>
  <c r="B10" i="2"/>
  <c r="C10" i="2" s="1"/>
  <c r="B12" i="4" l="1"/>
  <c r="B10" i="3"/>
  <c r="B14" i="3" s="1"/>
  <c r="B13" i="3"/>
  <c r="C16" i="2"/>
  <c r="C15" i="2"/>
  <c r="R6" i="6" l="1"/>
</calcChain>
</file>

<file path=xl/sharedStrings.xml><?xml version="1.0" encoding="utf-8"?>
<sst xmlns="http://schemas.openxmlformats.org/spreadsheetml/2006/main" count="530" uniqueCount="220">
  <si>
    <t>BILLS EVERY 15TH of the Month</t>
  </si>
  <si>
    <t>Fixed amount</t>
  </si>
  <si>
    <t>PAU</t>
  </si>
  <si>
    <t>FROM</t>
  </si>
  <si>
    <t>TO</t>
  </si>
  <si>
    <t>ONLINE LOAN</t>
  </si>
  <si>
    <t>BPI</t>
  </si>
  <si>
    <t>Minimum Amount</t>
  </si>
  <si>
    <t>Mothly Changing Amount</t>
  </si>
  <si>
    <t>Cold Cash to be Transaffer</t>
  </si>
  <si>
    <t>Maya</t>
  </si>
  <si>
    <t>SAVINGS</t>
  </si>
  <si>
    <t>** Mama medical</t>
  </si>
  <si>
    <t>UB Lazada</t>
  </si>
  <si>
    <t>No Budget</t>
  </si>
  <si>
    <t>** Aison pay for Pau phone</t>
  </si>
  <si>
    <t>UB Quickloan</t>
  </si>
  <si>
    <t>CIMB</t>
  </si>
  <si>
    <t>Juan Hand</t>
  </si>
  <si>
    <t>TOTAL</t>
  </si>
  <si>
    <t>MAYA Credit</t>
  </si>
  <si>
    <t>Paula</t>
  </si>
  <si>
    <t>BDO</t>
  </si>
  <si>
    <t>Other Expense</t>
  </si>
  <si>
    <t>Mama</t>
  </si>
  <si>
    <t>House</t>
  </si>
  <si>
    <t>Water</t>
  </si>
  <si>
    <t>Electricity</t>
  </si>
  <si>
    <t>1905105609</t>
  </si>
  <si>
    <t>Dog</t>
  </si>
  <si>
    <t>Food</t>
  </si>
  <si>
    <t>Total</t>
  </si>
  <si>
    <t>Pay 15</t>
  </si>
  <si>
    <t>Pay 30</t>
  </si>
  <si>
    <t>Rent</t>
  </si>
  <si>
    <t>Transpo</t>
  </si>
  <si>
    <t>Elect</t>
  </si>
  <si>
    <t>QuickLoan</t>
  </si>
  <si>
    <t>Lazada</t>
  </si>
  <si>
    <t>Sal</t>
  </si>
  <si>
    <t>GoTyme</t>
  </si>
  <si>
    <t>House Budget</t>
  </si>
  <si>
    <t>Expencess</t>
  </si>
  <si>
    <t>Laundry</t>
  </si>
  <si>
    <t>Income</t>
  </si>
  <si>
    <t>Expense</t>
  </si>
  <si>
    <t>Status</t>
  </si>
  <si>
    <t>Prio</t>
  </si>
  <si>
    <t>Minimun Amount</t>
  </si>
  <si>
    <t>Allowance</t>
  </si>
  <si>
    <t>Bank</t>
  </si>
  <si>
    <t>Bpi</t>
  </si>
  <si>
    <t>OK</t>
  </si>
  <si>
    <t>13th Month</t>
  </si>
  <si>
    <t>Lazada Union Bank</t>
  </si>
  <si>
    <t>Loans</t>
  </si>
  <si>
    <t>QuickLoan Union Bank</t>
  </si>
  <si>
    <t>Other</t>
  </si>
  <si>
    <t>Ate</t>
  </si>
  <si>
    <t>PAULA</t>
  </si>
  <si>
    <t>Xmas Gift</t>
  </si>
  <si>
    <t>Water and Elec</t>
  </si>
  <si>
    <t>Save</t>
  </si>
  <si>
    <t>23609.69+</t>
  </si>
  <si>
    <t>2086 7003 3969 16</t>
  </si>
  <si>
    <r>
      <t>Step</t>
    </r>
    <r>
      <rPr>
        <sz val="8"/>
        <color rgb="FF444444"/>
        <rFont val="Inherit"/>
      </rPr>
      <t> </t>
    </r>
  </si>
  <si>
    <r>
      <t>Computation</t>
    </r>
    <r>
      <rPr>
        <sz val="8"/>
        <color rgb="FF444444"/>
        <rFont val="Inherit"/>
      </rPr>
      <t> </t>
    </r>
  </si>
  <si>
    <r>
      <t>Example</t>
    </r>
    <r>
      <rPr>
        <sz val="8"/>
        <color rgb="FF444444"/>
        <rFont val="Inherit"/>
      </rPr>
      <t> </t>
    </r>
  </si>
  <si>
    <t>[annual base pay] / [13 months] = monthly base pay</t>
  </si>
  <si>
    <t>[Php 260,000] / [13 months] = Php 20,000</t>
  </si>
  <si>
    <t>[monthly base pay] x [12 months] / [260 days] = Daily Rate </t>
  </si>
  <si>
    <t>[Php 20,000] x [12 months] / [260 days] = Php 923.07 daily rate </t>
  </si>
  <si>
    <t>3 </t>
  </si>
  <si>
    <t>[daily rate] x [3 days] = Total amount for loading to base pay </t>
  </si>
  <si>
    <t>[Php 923.07] x [3 days] = Php 2,769.23 </t>
  </si>
  <si>
    <t>4 </t>
  </si>
  <si>
    <t>[current annual base pay] + [3 days rate] = New annual rate </t>
  </si>
  <si>
    <t>[Php 20,000 x 13 months] + [Php 2,769.23] = Php 262,769.23 </t>
  </si>
  <si>
    <t>5 </t>
  </si>
  <si>
    <t>[new annual rate] / [13 months] = New monthly base pay rate </t>
  </si>
  <si>
    <t>[Php 262,769.23] / [13 months] = Php 20,213.02 </t>
  </si>
  <si>
    <t>Monthly Rate</t>
  </si>
  <si>
    <t>Daily Rate SL/VL</t>
  </si>
  <si>
    <t>** With Formula Don’t Edit</t>
  </si>
  <si>
    <t>Long Term Loan</t>
  </si>
  <si>
    <t>Expected Income</t>
  </si>
  <si>
    <t>Target on Nov 30</t>
  </si>
  <si>
    <t>Payable Accounts</t>
  </si>
  <si>
    <t>Name</t>
  </si>
  <si>
    <t>Month</t>
  </si>
  <si>
    <t>Amount</t>
  </si>
  <si>
    <t>Balance</t>
  </si>
  <si>
    <t>Limit</t>
  </si>
  <si>
    <t>Available</t>
  </si>
  <si>
    <t>Payable</t>
  </si>
  <si>
    <t>Account Holder/ Type</t>
  </si>
  <si>
    <t>Puala from House</t>
  </si>
  <si>
    <t>*8600 House 3k mama bed 7K bago alis mama</t>
  </si>
  <si>
    <t>payble by paula until April</t>
  </si>
  <si>
    <t>Paula/ C Card</t>
  </si>
  <si>
    <t>sss</t>
  </si>
  <si>
    <t>Nov</t>
  </si>
  <si>
    <t>MAYA</t>
  </si>
  <si>
    <t>Aison/ C Card</t>
  </si>
  <si>
    <t>Dec</t>
  </si>
  <si>
    <t>One Hand</t>
  </si>
  <si>
    <t>Aison</t>
  </si>
  <si>
    <t>Aison/ Long Term Loan</t>
  </si>
  <si>
    <t>Total Payable</t>
  </si>
  <si>
    <t>Payment</t>
  </si>
  <si>
    <t>Total Amount</t>
  </si>
  <si>
    <t>Sept</t>
  </si>
  <si>
    <t xml:space="preserve">Oct </t>
  </si>
  <si>
    <t>Jan</t>
  </si>
  <si>
    <t>Feb</t>
  </si>
  <si>
    <t>March</t>
  </si>
  <si>
    <t>UnionBank Quick Loan</t>
  </si>
  <si>
    <t>Date</t>
  </si>
  <si>
    <t>Payed</t>
  </si>
  <si>
    <t>Overpayment</t>
  </si>
  <si>
    <t>Salary Based Computation based on Base Pay</t>
  </si>
  <si>
    <t>Yearly Update</t>
  </si>
  <si>
    <t xml:space="preserve">Increasing </t>
  </si>
  <si>
    <t>* Choose your increase for this year</t>
  </si>
  <si>
    <t>Base Pay Rate</t>
  </si>
  <si>
    <t>*Input your latest Base pay</t>
  </si>
  <si>
    <t>Increasing Amount</t>
  </si>
  <si>
    <t>bdo</t>
  </si>
  <si>
    <t>January'</t>
  </si>
  <si>
    <t>6 months Savings</t>
  </si>
  <si>
    <t>Minimum</t>
  </si>
  <si>
    <t>Due</t>
  </si>
  <si>
    <t>BDO with AF</t>
  </si>
  <si>
    <t>Giordano</t>
  </si>
  <si>
    <t>Xmas gift</t>
  </si>
  <si>
    <t>Puregold</t>
  </si>
  <si>
    <t>Biscuit</t>
  </si>
  <si>
    <t>Watson</t>
  </si>
  <si>
    <t>Grocery</t>
  </si>
  <si>
    <t>bpi</t>
  </si>
  <si>
    <t>UnionBank</t>
  </si>
  <si>
    <t>monthly</t>
  </si>
  <si>
    <t>Fare</t>
  </si>
  <si>
    <t>Per Cut Off</t>
  </si>
  <si>
    <t>Per Month</t>
  </si>
  <si>
    <t>Excess Money</t>
  </si>
  <si>
    <t>Gcash</t>
  </si>
  <si>
    <t>YT</t>
  </si>
  <si>
    <t>Net</t>
  </si>
  <si>
    <t>Load</t>
  </si>
  <si>
    <t>Gcredit</t>
  </si>
  <si>
    <t>JuanHand</t>
  </si>
  <si>
    <t>Quickloan</t>
  </si>
  <si>
    <t>Phone</t>
  </si>
  <si>
    <t>Creadit Card</t>
  </si>
  <si>
    <t>UB</t>
  </si>
  <si>
    <t>until march</t>
  </si>
  <si>
    <t>until feb</t>
  </si>
  <si>
    <t>Per Cut off</t>
  </si>
  <si>
    <t>BPI half</t>
  </si>
  <si>
    <t>with eye drop</t>
  </si>
  <si>
    <t>food</t>
  </si>
  <si>
    <t>mcdo</t>
  </si>
  <si>
    <t>transpo 2</t>
  </si>
  <si>
    <t>dunkkin</t>
  </si>
  <si>
    <t>shawarma</t>
  </si>
  <si>
    <t>Grab</t>
  </si>
  <si>
    <t>Cash</t>
  </si>
  <si>
    <t>Venice</t>
  </si>
  <si>
    <t>source</t>
  </si>
  <si>
    <t>cash</t>
  </si>
  <si>
    <t>maya</t>
  </si>
  <si>
    <t>bpi noki</t>
  </si>
  <si>
    <t>Gotyme</t>
  </si>
  <si>
    <t>grocery</t>
  </si>
  <si>
    <t>NBS</t>
  </si>
  <si>
    <t>wallet</t>
  </si>
  <si>
    <t>BPI Payment</t>
  </si>
  <si>
    <t>Pau</t>
  </si>
  <si>
    <t>Missing</t>
  </si>
  <si>
    <t>UNIONBANK</t>
  </si>
  <si>
    <t>JUANHAND</t>
  </si>
  <si>
    <t>Credit Limit</t>
  </si>
  <si>
    <t>unionbank</t>
  </si>
  <si>
    <t>Monthly Buget</t>
  </si>
  <si>
    <t>HOUSE</t>
  </si>
  <si>
    <t>RENT</t>
  </si>
  <si>
    <t xml:space="preserve">WATER </t>
  </si>
  <si>
    <t>ELEC</t>
  </si>
  <si>
    <t>CARDS</t>
  </si>
  <si>
    <t>Obligation</t>
  </si>
  <si>
    <t>MAMA</t>
  </si>
  <si>
    <t>MEDS</t>
  </si>
  <si>
    <t>Payments</t>
  </si>
  <si>
    <t>DATE</t>
  </si>
  <si>
    <t xml:space="preserve">    Balance</t>
  </si>
  <si>
    <t>Waiting for Paula Payment</t>
  </si>
  <si>
    <t xml:space="preserve">Allowance </t>
  </si>
  <si>
    <t>Stove</t>
  </si>
  <si>
    <t>BANK Credit</t>
  </si>
  <si>
    <t>Payment Request</t>
  </si>
  <si>
    <t>INCOME</t>
  </si>
  <si>
    <t>PAYMENT</t>
  </si>
  <si>
    <t>New Balance</t>
  </si>
  <si>
    <t>INCOMES</t>
  </si>
  <si>
    <t>3361 -&gt; Borrowed  ;   3800 rent with trash</t>
  </si>
  <si>
    <t>Feb 15 Cost</t>
  </si>
  <si>
    <t>FEEDS</t>
  </si>
  <si>
    <t>FOOD</t>
  </si>
  <si>
    <t>GOTYME</t>
  </si>
  <si>
    <t>juanhand</t>
  </si>
  <si>
    <t>Med</t>
  </si>
  <si>
    <t>Need</t>
  </si>
  <si>
    <t>Utilities</t>
  </si>
  <si>
    <t>cimb</t>
  </si>
  <si>
    <t>Total Expense</t>
  </si>
  <si>
    <t>Salary</t>
  </si>
  <si>
    <t>Diff</t>
  </si>
  <si>
    <t>Loan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</si>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</sst>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₱-3409]* #,##0.00_-;\-[$₱-3409]* #,##0.00_-;_-[$₱-3409]* &quot;-&quot;??_-;_-@_-"/>
    <numFmt numFmtId="165" formatCode="_-[$₱-3409]* #,##0.0_-;\-[$₱-3409]* #,##0.0_-;_-[$₱-3409]* &quot;-&quot;??_-;_-@_-"/>
    <numFmt numFmtId="166" formatCode="_-[$₱-3409]* #,##0_-;\-[$₱-3409]* #,##0_-;_-[$₱-3409]* &quot;-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444444"/>
      <name val="Inherit"/>
    </font>
    <font>
      <b/>
      <sz val="8"/>
      <color rgb="FF444444"/>
      <name val="Inherit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9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0" borderId="1" xfId="0" applyBorder="1"/>
    <xf numFmtId="0" fontId="0" fillId="6" borderId="0" xfId="0" applyFill="1"/>
    <xf numFmtId="164" fontId="0" fillId="5" borderId="1" xfId="1" applyNumberFormat="1" applyFont="1" applyFill="1" applyBorder="1"/>
    <xf numFmtId="164" fontId="0" fillId="4" borderId="1" xfId="1" applyNumberFormat="1" applyFont="1" applyFill="1" applyBorder="1"/>
    <xf numFmtId="164" fontId="0" fillId="6" borderId="1" xfId="1" applyNumberFormat="1" applyFont="1" applyFill="1" applyBorder="1"/>
    <xf numFmtId="164" fontId="0" fillId="0" borderId="0" xfId="1" applyNumberFormat="1" applyFont="1"/>
    <xf numFmtId="0" fontId="3" fillId="7" borderId="3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7" borderId="4" xfId="0" applyFont="1" applyFill="1" applyBorder="1" applyAlignment="1">
      <alignment horizontal="left" vertical="center" indent="1"/>
    </xf>
    <xf numFmtId="0" fontId="2" fillId="7" borderId="3" xfId="0" applyFont="1" applyFill="1" applyBorder="1" applyAlignment="1">
      <alignment horizontal="left" vertical="center" indent="1"/>
    </xf>
    <xf numFmtId="0" fontId="2" fillId="7" borderId="2" xfId="0" applyFont="1" applyFill="1" applyBorder="1" applyAlignment="1">
      <alignment horizontal="left" vertical="center" indent="1"/>
    </xf>
    <xf numFmtId="0" fontId="2" fillId="7" borderId="4" xfId="0" applyFont="1" applyFill="1" applyBorder="1" applyAlignment="1">
      <alignment horizontal="left" vertical="center" indent="1"/>
    </xf>
    <xf numFmtId="0" fontId="2" fillId="7" borderId="5" xfId="0" applyFont="1" applyFill="1" applyBorder="1" applyAlignment="1">
      <alignment horizontal="left" vertical="center" indent="1"/>
    </xf>
    <xf numFmtId="0" fontId="2" fillId="7" borderId="6" xfId="0" applyFont="1" applyFill="1" applyBorder="1" applyAlignment="1">
      <alignment horizontal="left" vertical="center" indent="1"/>
    </xf>
    <xf numFmtId="0" fontId="2" fillId="7" borderId="7" xfId="0" applyFont="1" applyFill="1" applyBorder="1" applyAlignment="1">
      <alignment horizontal="left" vertical="center" indent="1"/>
    </xf>
    <xf numFmtId="164" fontId="0" fillId="8" borderId="1" xfId="0" applyNumberFormat="1" applyFill="1" applyBorder="1" applyAlignment="1">
      <alignment horizontal="left"/>
    </xf>
    <xf numFmtId="164" fontId="0" fillId="5" borderId="1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64" fontId="5" fillId="3" borderId="1" xfId="0" applyNumberFormat="1" applyFont="1" applyFill="1" applyBorder="1"/>
    <xf numFmtId="0" fontId="4" fillId="0" borderId="0" xfId="0" applyFont="1"/>
    <xf numFmtId="3" fontId="0" fillId="0" borderId="0" xfId="0" applyNumberFormat="1"/>
    <xf numFmtId="9" fontId="0" fillId="0" borderId="0" xfId="0" applyNumberFormat="1"/>
    <xf numFmtId="9" fontId="0" fillId="9" borderId="1" xfId="0" applyNumberFormat="1" applyFill="1" applyBorder="1" applyAlignment="1">
      <alignment horizontal="center"/>
    </xf>
    <xf numFmtId="0" fontId="0" fillId="9" borderId="0" xfId="0" applyFill="1"/>
    <xf numFmtId="164" fontId="0" fillId="9" borderId="1" xfId="0" applyNumberFormat="1" applyFill="1" applyBorder="1"/>
    <xf numFmtId="164" fontId="5" fillId="9" borderId="1" xfId="0" applyNumberFormat="1" applyFont="1" applyFill="1" applyBorder="1"/>
    <xf numFmtId="164" fontId="5" fillId="5" borderId="1" xfId="0" applyNumberFormat="1" applyFont="1" applyFill="1" applyBorder="1"/>
    <xf numFmtId="0" fontId="8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/>
    <xf numFmtId="164" fontId="0" fillId="0" borderId="1" xfId="0" applyNumberFormat="1" applyBorder="1"/>
    <xf numFmtId="164" fontId="0" fillId="8" borderId="1" xfId="0" applyNumberFormat="1" applyFill="1" applyBorder="1"/>
    <xf numFmtId="0" fontId="0" fillId="8" borderId="8" xfId="0" applyFill="1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8" fillId="0" borderId="11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9" borderId="10" xfId="0" applyFill="1" applyBorder="1"/>
    <xf numFmtId="0" fontId="0" fillId="9" borderId="12" xfId="0" applyFill="1" applyBorder="1"/>
    <xf numFmtId="0" fontId="0" fillId="9" borderId="16" xfId="0" applyFill="1" applyBorder="1"/>
    <xf numFmtId="0" fontId="0" fillId="9" borderId="15" xfId="0" applyFill="1" applyBorder="1"/>
    <xf numFmtId="0" fontId="0" fillId="9" borderId="14" xfId="0" applyFill="1" applyBorder="1"/>
    <xf numFmtId="0" fontId="8" fillId="9" borderId="13" xfId="0" applyFont="1" applyFill="1" applyBorder="1"/>
    <xf numFmtId="0" fontId="7" fillId="9" borderId="9" xfId="0" applyFont="1" applyFill="1" applyBorder="1"/>
    <xf numFmtId="0" fontId="0" fillId="9" borderId="9" xfId="0" applyFill="1" applyBorder="1"/>
    <xf numFmtId="0" fontId="0" fillId="0" borderId="1" xfId="0" applyBorder="1" applyAlignment="1">
      <alignment horizontal="center" vertical="center"/>
    </xf>
    <xf numFmtId="0" fontId="8" fillId="3" borderId="14" xfId="0" applyFont="1" applyFill="1" applyBorder="1" applyAlignment="1">
      <alignment horizontal="right"/>
    </xf>
    <xf numFmtId="164" fontId="0" fillId="3" borderId="17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14" fontId="0" fillId="9" borderId="11" xfId="0" applyNumberFormat="1" applyFill="1" applyBorder="1" applyAlignment="1">
      <alignment horizontal="center"/>
    </xf>
    <xf numFmtId="164" fontId="0" fillId="9" borderId="12" xfId="0" applyNumberFormat="1" applyFill="1" applyBorder="1"/>
    <xf numFmtId="0" fontId="8" fillId="9" borderId="13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164" fontId="8" fillId="3" borderId="17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64" fontId="0" fillId="5" borderId="1" xfId="0" applyNumberFormat="1" applyFill="1" applyBorder="1"/>
    <xf numFmtId="165" fontId="0" fillId="8" borderId="18" xfId="0" applyNumberFormat="1" applyFill="1" applyBorder="1"/>
    <xf numFmtId="164" fontId="0" fillId="8" borderId="18" xfId="0" applyNumberFormat="1" applyFill="1" applyBorder="1"/>
    <xf numFmtId="164" fontId="13" fillId="0" borderId="1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/>
    </xf>
    <xf numFmtId="164" fontId="0" fillId="11" borderId="1" xfId="0" applyNumberFormat="1" applyFill="1" applyBorder="1"/>
    <xf numFmtId="0" fontId="0" fillId="11" borderId="9" xfId="0" applyFill="1" applyBorder="1"/>
    <xf numFmtId="0" fontId="0" fillId="0" borderId="0" xfId="0" quotePrefix="1"/>
    <xf numFmtId="164" fontId="0" fillId="5" borderId="0" xfId="1" applyNumberFormat="1" applyFont="1" applyFill="1" applyBorder="1"/>
    <xf numFmtId="164" fontId="0" fillId="6" borderId="0" xfId="1" applyNumberFormat="1" applyFont="1" applyFill="1" applyBorder="1"/>
    <xf numFmtId="164" fontId="0" fillId="4" borderId="0" xfId="1" applyNumberFormat="1" applyFont="1" applyFill="1" applyBorder="1"/>
    <xf numFmtId="164" fontId="0" fillId="5" borderId="20" xfId="1" applyNumberFormat="1" applyFont="1" applyFill="1" applyBorder="1"/>
    <xf numFmtId="164" fontId="0" fillId="4" borderId="21" xfId="1" applyNumberFormat="1" applyFont="1" applyFill="1" applyBorder="1"/>
    <xf numFmtId="164" fontId="0" fillId="5" borderId="22" xfId="1" applyNumberFormat="1" applyFont="1" applyFill="1" applyBorder="1"/>
    <xf numFmtId="164" fontId="0" fillId="5" borderId="23" xfId="1" applyNumberFormat="1" applyFont="1" applyFill="1" applyBorder="1"/>
    <xf numFmtId="0" fontId="0" fillId="9" borderId="27" xfId="0" applyFill="1" applyBorder="1" applyAlignment="1">
      <alignment horizontal="right"/>
    </xf>
    <xf numFmtId="0" fontId="6" fillId="9" borderId="0" xfId="0" applyFont="1" applyFill="1" applyAlignment="1">
      <alignment vertical="center"/>
    </xf>
    <xf numFmtId="164" fontId="0" fillId="5" borderId="29" xfId="0" applyNumberFormat="1" applyFill="1" applyBorder="1" applyAlignment="1">
      <alignment horizontal="left"/>
    </xf>
    <xf numFmtId="164" fontId="0" fillId="8" borderId="29" xfId="0" applyNumberFormat="1" applyFill="1" applyBorder="1" applyAlignment="1">
      <alignment horizontal="left"/>
    </xf>
    <xf numFmtId="0" fontId="0" fillId="9" borderId="27" xfId="0" applyFill="1" applyBorder="1"/>
    <xf numFmtId="0" fontId="4" fillId="9" borderId="27" xfId="0" applyFont="1" applyFill="1" applyBorder="1"/>
    <xf numFmtId="0" fontId="0" fillId="9" borderId="30" xfId="0" applyFill="1" applyBorder="1"/>
    <xf numFmtId="0" fontId="0" fillId="9" borderId="31" xfId="0" applyFill="1" applyBorder="1"/>
    <xf numFmtId="164" fontId="0" fillId="0" borderId="0" xfId="0" applyNumberFormat="1"/>
    <xf numFmtId="0" fontId="0" fillId="0" borderId="0" xfId="0" applyAlignment="1">
      <alignment wrapText="1"/>
    </xf>
    <xf numFmtId="164" fontId="0" fillId="6" borderId="22" xfId="1" applyNumberFormat="1" applyFont="1" applyFill="1" applyBorder="1"/>
    <xf numFmtId="16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164" fontId="0" fillId="0" borderId="31" xfId="0" applyNumberFormat="1" applyBorder="1"/>
    <xf numFmtId="0" fontId="0" fillId="0" borderId="32" xfId="0" applyBorder="1"/>
    <xf numFmtId="164" fontId="0" fillId="3" borderId="0" xfId="0" applyNumberFormat="1" applyFill="1"/>
    <xf numFmtId="166" fontId="0" fillId="0" borderId="0" xfId="0" applyNumberFormat="1"/>
    <xf numFmtId="166" fontId="0" fillId="3" borderId="0" xfId="0" applyNumberFormat="1" applyFill="1" applyAlignment="1">
      <alignment horizontal="center"/>
    </xf>
    <xf numFmtId="166" fontId="0" fillId="12" borderId="0" xfId="0" applyNumberFormat="1" applyFill="1" applyAlignment="1">
      <alignment horizontal="center"/>
    </xf>
    <xf numFmtId="166" fontId="14" fillId="12" borderId="0" xfId="0" applyNumberFormat="1" applyFont="1" applyFill="1" applyAlignment="1">
      <alignment horizontal="center"/>
    </xf>
    <xf numFmtId="0" fontId="0" fillId="12" borderId="0" xfId="0" applyFill="1"/>
    <xf numFmtId="166" fontId="0" fillId="12" borderId="0" xfId="0" applyNumberFormat="1" applyFill="1"/>
    <xf numFmtId="166" fontId="0" fillId="8" borderId="0" xfId="0" applyNumberFormat="1" applyFill="1"/>
    <xf numFmtId="166" fontId="0" fillId="13" borderId="0" xfId="0" applyNumberFormat="1" applyFill="1"/>
    <xf numFmtId="0" fontId="0" fillId="2" borderId="0" xfId="0" applyFill="1" applyAlignment="1">
      <alignment horizontal="center"/>
    </xf>
    <xf numFmtId="43" fontId="0" fillId="0" borderId="0" xfId="2" applyFont="1"/>
    <xf numFmtId="43" fontId="0" fillId="0" borderId="0" xfId="0" applyNumberFormat="1"/>
    <xf numFmtId="43" fontId="0" fillId="3" borderId="0" xfId="2" applyFont="1" applyFill="1"/>
    <xf numFmtId="166" fontId="0" fillId="14" borderId="0" xfId="0" applyNumberFormat="1" applyFill="1" applyAlignment="1">
      <alignment horizontal="center"/>
    </xf>
    <xf numFmtId="166" fontId="14" fillId="14" borderId="0" xfId="0" applyNumberFormat="1" applyFont="1" applyFill="1" applyAlignment="1">
      <alignment horizontal="center"/>
    </xf>
    <xf numFmtId="0" fontId="0" fillId="14" borderId="0" xfId="0" applyFill="1"/>
    <xf numFmtId="43" fontId="0" fillId="13" borderId="0" xfId="2" applyFont="1" applyFill="1"/>
    <xf numFmtId="0" fontId="8" fillId="0" borderId="0" xfId="0" applyFont="1" applyAlignment="1">
      <alignment horizontal="center"/>
    </xf>
    <xf numFmtId="0" fontId="0" fillId="13" borderId="0" xfId="0" applyFill="1"/>
    <xf numFmtId="43" fontId="0" fillId="13" borderId="0" xfId="0" applyNumberFormat="1" applyFill="1"/>
    <xf numFmtId="43" fontId="0" fillId="5" borderId="0" xfId="2" applyFont="1" applyFill="1"/>
    <xf numFmtId="43" fontId="0" fillId="5" borderId="0" xfId="0" applyNumberFormat="1" applyFill="1"/>
    <xf numFmtId="43" fontId="0" fillId="13" borderId="1" xfId="2" applyFont="1" applyFill="1" applyBorder="1" applyAlignment="1">
      <alignment horizontal="center"/>
    </xf>
    <xf numFmtId="0" fontId="0" fillId="13" borderId="1" xfId="0" applyFill="1" applyBorder="1"/>
    <xf numFmtId="43" fontId="0" fillId="8" borderId="0" xfId="0" applyNumberFormat="1" applyFill="1"/>
    <xf numFmtId="0" fontId="0" fillId="8" borderId="0" xfId="0" applyFill="1"/>
    <xf numFmtId="43" fontId="0" fillId="2" borderId="0" xfId="0" applyNumberFormat="1" applyFill="1"/>
    <xf numFmtId="0" fontId="0" fillId="2" borderId="0" xfId="0" applyFill="1"/>
    <xf numFmtId="43" fontId="15" fillId="15" borderId="0" xfId="2" applyFont="1" applyFill="1"/>
    <xf numFmtId="43" fontId="15" fillId="15" borderId="0" xfId="0" applyNumberFormat="1" applyFont="1" applyFill="1"/>
    <xf numFmtId="0" fontId="0" fillId="8" borderId="1" xfId="0" applyFill="1" applyBorder="1"/>
    <xf numFmtId="16" fontId="0" fillId="8" borderId="1" xfId="0" applyNumberFormat="1" applyFill="1" applyBorder="1"/>
    <xf numFmtId="43" fontId="0" fillId="8" borderId="1" xfId="2" applyFont="1" applyFill="1" applyBorder="1"/>
    <xf numFmtId="43" fontId="7" fillId="8" borderId="1" xfId="0" applyNumberFormat="1" applyFont="1" applyFill="1" applyBorder="1"/>
    <xf numFmtId="0" fontId="7" fillId="8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0" fontId="0" fillId="16" borderId="0" xfId="0" applyFill="1"/>
    <xf numFmtId="0" fontId="16" fillId="17" borderId="11" xfId="0" applyFont="1" applyFill="1" applyBorder="1"/>
    <xf numFmtId="43" fontId="15" fillId="17" borderId="18" xfId="2" applyFont="1" applyFill="1" applyBorder="1"/>
    <xf numFmtId="0" fontId="16" fillId="17" borderId="36" xfId="0" applyFont="1" applyFill="1" applyBorder="1"/>
    <xf numFmtId="43" fontId="15" fillId="17" borderId="37" xfId="2" applyFont="1" applyFill="1" applyBorder="1"/>
    <xf numFmtId="0" fontId="15" fillId="15" borderId="1" xfId="0" applyFont="1" applyFill="1" applyBorder="1"/>
    <xf numFmtId="43" fontId="15" fillId="15" borderId="1" xfId="2" applyFont="1" applyFill="1" applyBorder="1"/>
    <xf numFmtId="43" fontId="15" fillId="15" borderId="1" xfId="0" applyNumberFormat="1" applyFont="1" applyFill="1" applyBorder="1"/>
    <xf numFmtId="43" fontId="0" fillId="0" borderId="1" xfId="0" applyNumberFormat="1" applyBorder="1"/>
    <xf numFmtId="0" fontId="0" fillId="9" borderId="20" xfId="0" applyFill="1" applyBorder="1"/>
    <xf numFmtId="0" fontId="0" fillId="9" borderId="38" xfId="0" applyFill="1" applyBorder="1"/>
    <xf numFmtId="0" fontId="0" fillId="9" borderId="39" xfId="0" applyFill="1" applyBorder="1"/>
    <xf numFmtId="43" fontId="15" fillId="18" borderId="0" xfId="2" applyFont="1" applyFill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66" fontId="0" fillId="0" borderId="0" xfId="0" applyNumberFormat="1" applyAlignment="1">
      <alignment horizontal="center"/>
    </xf>
    <xf numFmtId="166" fontId="14" fillId="0" borderId="0" xfId="0" applyNumberFormat="1" applyFont="1" applyAlignment="1">
      <alignment horizontal="center"/>
    </xf>
    <xf numFmtId="43" fontId="0" fillId="0" borderId="0" xfId="2" applyFont="1" applyFill="1"/>
    <xf numFmtId="16" fontId="0" fillId="16" borderId="1" xfId="0" applyNumberFormat="1" applyFill="1" applyBorder="1" applyAlignment="1">
      <alignment horizontal="center"/>
    </xf>
    <xf numFmtId="17" fontId="0" fillId="16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8" fillId="0" borderId="20" xfId="0" applyFont="1" applyBorder="1" applyAlignment="1">
      <alignment horizontal="right"/>
    </xf>
    <xf numFmtId="0" fontId="8" fillId="0" borderId="38" xfId="0" applyFont="1" applyBorder="1" applyAlignment="1">
      <alignment horizontal="right"/>
    </xf>
    <xf numFmtId="0" fontId="8" fillId="0" borderId="39" xfId="0" applyFont="1" applyBorder="1" applyAlignment="1">
      <alignment horizontal="right"/>
    </xf>
    <xf numFmtId="0" fontId="16" fillId="15" borderId="1" xfId="0" applyFont="1" applyFill="1" applyBorder="1" applyAlignment="1">
      <alignment horizontal="center"/>
    </xf>
    <xf numFmtId="0" fontId="16" fillId="15" borderId="20" xfId="0" applyFont="1" applyFill="1" applyBorder="1" applyAlignment="1">
      <alignment horizontal="center"/>
    </xf>
    <xf numFmtId="0" fontId="16" fillId="17" borderId="13" xfId="0" applyFont="1" applyFill="1" applyBorder="1" applyAlignment="1">
      <alignment horizontal="center"/>
    </xf>
    <xf numFmtId="0" fontId="16" fillId="17" borderId="1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16" fillId="18" borderId="13" xfId="0" applyFont="1" applyFill="1" applyBorder="1" applyAlignment="1">
      <alignment horizontal="right"/>
    </xf>
    <xf numFmtId="0" fontId="16" fillId="18" borderId="0" xfId="0" applyFont="1" applyFill="1" applyAlignment="1">
      <alignment horizontal="right"/>
    </xf>
    <xf numFmtId="0" fontId="15" fillId="18" borderId="13" xfId="0" applyFont="1" applyFill="1" applyBorder="1" applyAlignment="1">
      <alignment horizontal="center"/>
    </xf>
    <xf numFmtId="0" fontId="15" fillId="18" borderId="0" xfId="0" applyFont="1" applyFill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0" borderId="0" xfId="0" applyFont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8" borderId="24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27" xfId="0" applyFill="1" applyBorder="1" applyAlignment="1">
      <alignment horizontal="center"/>
    </xf>
    <xf numFmtId="0" fontId="7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43" fontId="0" fillId="0" borderId="0" xfId="0" applyNumberFormat="1" applyFill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</xdr:row>
      <xdr:rowOff>57150</xdr:rowOff>
    </xdr:from>
    <xdr:to>
      <xdr:col>17</xdr:col>
      <xdr:colOff>485775</xdr:colOff>
      <xdr:row>20</xdr:row>
      <xdr:rowOff>114300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8E8E65AC-B949-84F4-91D4-282096773EFA}"/>
            </a:ext>
          </a:extLst>
        </xdr:cNvPr>
        <xdr:cNvSpPr/>
      </xdr:nvSpPr>
      <xdr:spPr>
        <a:xfrm>
          <a:off x="5690235" y="247650"/>
          <a:ext cx="6438900" cy="33566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Amasis MT Pro Black" panose="020F0502020204030204" pitchFamily="18" charset="0"/>
            </a:rPr>
            <a:t>                                                                 &gt;&gt;&gt;BOARD&lt;&lt;&lt;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0</xdr:row>
      <xdr:rowOff>76200</xdr:rowOff>
    </xdr:from>
    <xdr:to>
      <xdr:col>9</xdr:col>
      <xdr:colOff>601980</xdr:colOff>
      <xdr:row>23</xdr:row>
      <xdr:rowOff>91440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F1E464-A7E3-FB42-0DBF-57ABA1670E1A}"/>
            </a:ext>
          </a:extLst>
        </xdr:cNvPr>
        <xdr:cNvSpPr/>
      </xdr:nvSpPr>
      <xdr:spPr>
        <a:xfrm>
          <a:off x="1280160" y="76200"/>
          <a:ext cx="4808220" cy="422148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2</xdr:col>
      <xdr:colOff>53340</xdr:colOff>
      <xdr:row>23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13794C-2D50-BC07-56F7-798D2438E30C}"/>
            </a:ext>
          </a:extLst>
        </xdr:cNvPr>
        <xdr:cNvSpPr/>
      </xdr:nvSpPr>
      <xdr:spPr>
        <a:xfrm>
          <a:off x="76200" y="76200"/>
          <a:ext cx="1196340" cy="4206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</xdr:colOff>
      <xdr:row>0</xdr:row>
      <xdr:rowOff>99060</xdr:rowOff>
    </xdr:from>
    <xdr:to>
      <xdr:col>11</xdr:col>
      <xdr:colOff>594360</xdr:colOff>
      <xdr:row>23</xdr:row>
      <xdr:rowOff>99060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232A6E-79EF-41D2-952D-CFA8CE179216}"/>
            </a:ext>
          </a:extLst>
        </xdr:cNvPr>
        <xdr:cNvSpPr/>
      </xdr:nvSpPr>
      <xdr:spPr>
        <a:xfrm>
          <a:off x="6103620" y="99060"/>
          <a:ext cx="1196340" cy="4206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293370</xdr:colOff>
      <xdr:row>21</xdr:row>
      <xdr:rowOff>22860</xdr:rowOff>
    </xdr:from>
    <xdr:to>
      <xdr:col>8</xdr:col>
      <xdr:colOff>15240</xdr:colOff>
      <xdr:row>23</xdr:row>
      <xdr:rowOff>99060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B3A4E88-F2D2-4668-9F35-458DB2B06901}"/>
            </a:ext>
          </a:extLst>
        </xdr:cNvPr>
        <xdr:cNvSpPr/>
      </xdr:nvSpPr>
      <xdr:spPr>
        <a:xfrm rot="5400000">
          <a:off x="3895725" y="3308985"/>
          <a:ext cx="441960" cy="15506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588645</xdr:colOff>
      <xdr:row>15</xdr:row>
      <xdr:rowOff>99061</xdr:rowOff>
    </xdr:from>
    <xdr:to>
      <xdr:col>2</xdr:col>
      <xdr:colOff>121920</xdr:colOff>
      <xdr:row>22</xdr:row>
      <xdr:rowOff>43815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87EC811-B02C-4C35-B4CD-06A566F6D957}"/>
            </a:ext>
          </a:extLst>
        </xdr:cNvPr>
        <xdr:cNvSpPr/>
      </xdr:nvSpPr>
      <xdr:spPr>
        <a:xfrm>
          <a:off x="1198245" y="2842261"/>
          <a:ext cx="142875" cy="122491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79060</xdr:colOff>
      <xdr:row>0</xdr:row>
      <xdr:rowOff>83341</xdr:rowOff>
    </xdr:from>
    <xdr:to>
      <xdr:col>5</xdr:col>
      <xdr:colOff>214315</xdr:colOff>
      <xdr:row>7</xdr:row>
      <xdr:rowOff>68101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C7E3B4C-C889-4D7F-8619-191D3BB743EA}"/>
            </a:ext>
          </a:extLst>
        </xdr:cNvPr>
        <xdr:cNvSpPr/>
      </xdr:nvSpPr>
      <xdr:spPr>
        <a:xfrm rot="5400000">
          <a:off x="1647828" y="-266227"/>
          <a:ext cx="1264920" cy="19640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457200</xdr:colOff>
      <xdr:row>16</xdr:row>
      <xdr:rowOff>53340</xdr:rowOff>
    </xdr:from>
    <xdr:to>
      <xdr:col>5</xdr:col>
      <xdr:colOff>289560</xdr:colOff>
      <xdr:row>23</xdr:row>
      <xdr:rowOff>99060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4D80B2C-0BE8-49CE-AFA6-192504D0FAB8}"/>
            </a:ext>
          </a:extLst>
        </xdr:cNvPr>
        <xdr:cNvSpPr/>
      </xdr:nvSpPr>
      <xdr:spPr>
        <a:xfrm rot="10800000">
          <a:off x="2895600" y="2979420"/>
          <a:ext cx="441960" cy="13258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365760</xdr:colOff>
      <xdr:row>0</xdr:row>
      <xdr:rowOff>106680</xdr:rowOff>
    </xdr:from>
    <xdr:to>
      <xdr:col>6</xdr:col>
      <xdr:colOff>76200</xdr:colOff>
      <xdr:row>3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C382DFB-C12D-4D84-9A6C-15407BE82E43}"/>
            </a:ext>
          </a:extLst>
        </xdr:cNvPr>
        <xdr:cNvSpPr/>
      </xdr:nvSpPr>
      <xdr:spPr>
        <a:xfrm rot="5400000">
          <a:off x="3295650" y="224790"/>
          <a:ext cx="556260" cy="320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148590</xdr:colOff>
      <xdr:row>6</xdr:row>
      <xdr:rowOff>34290</xdr:rowOff>
    </xdr:from>
    <xdr:to>
      <xdr:col>9</xdr:col>
      <xdr:colOff>605790</xdr:colOff>
      <xdr:row>13</xdr:row>
      <xdr:rowOff>163830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F815389-7798-4125-A64D-0BFA75E47798}"/>
            </a:ext>
          </a:extLst>
        </xdr:cNvPr>
        <xdr:cNvSpPr/>
      </xdr:nvSpPr>
      <xdr:spPr>
        <a:xfrm rot="10800000">
          <a:off x="5634990" y="1131570"/>
          <a:ext cx="457200" cy="1409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289560</xdr:colOff>
      <xdr:row>14</xdr:row>
      <xdr:rowOff>160020</xdr:rowOff>
    </xdr:from>
    <xdr:to>
      <xdr:col>9</xdr:col>
      <xdr:colOff>586740</xdr:colOff>
      <xdr:row>16</xdr:row>
      <xdr:rowOff>53340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B711564-5F5C-4B70-A18A-1F559F257385}"/>
            </a:ext>
          </a:extLst>
        </xdr:cNvPr>
        <xdr:cNvSpPr/>
      </xdr:nvSpPr>
      <xdr:spPr>
        <a:xfrm rot="5400000">
          <a:off x="5795010" y="2701290"/>
          <a:ext cx="259080" cy="297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552450</xdr:colOff>
      <xdr:row>16</xdr:row>
      <xdr:rowOff>38100</xdr:rowOff>
    </xdr:from>
    <xdr:to>
      <xdr:col>10</xdr:col>
      <xdr:colOff>7620</xdr:colOff>
      <xdr:row>23</xdr:row>
      <xdr:rowOff>99060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856B206B-8A1F-3E6C-9978-8B26CE8C179C}"/>
            </a:ext>
          </a:extLst>
        </xdr:cNvPr>
        <xdr:cNvGrpSpPr/>
      </xdr:nvGrpSpPr>
      <xdr:grpSpPr>
        <a:xfrm>
          <a:off x="4819650" y="2964180"/>
          <a:ext cx="1283970" cy="1341120"/>
          <a:chOff x="4560570" y="2964180"/>
          <a:chExt cx="1283970" cy="1341120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55EE35D-5C8A-4715-9AA3-9DC51CC2230C}"/>
              </a:ext>
            </a:extLst>
          </xdr:cNvPr>
          <xdr:cNvSpPr/>
        </xdr:nvSpPr>
        <xdr:spPr>
          <a:xfrm rot="5400000">
            <a:off x="4566285" y="3027045"/>
            <a:ext cx="1272540" cy="128397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9D50F3E6-42B7-4C4D-88E2-503247ADAA7B}"/>
              </a:ext>
            </a:extLst>
          </xdr:cNvPr>
          <xdr:cNvSpPr/>
        </xdr:nvSpPr>
        <xdr:spPr>
          <a:xfrm rot="5400000">
            <a:off x="4987290" y="2609850"/>
            <a:ext cx="129540" cy="8382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9</xdr:col>
      <xdr:colOff>556260</xdr:colOff>
      <xdr:row>1</xdr:row>
      <xdr:rowOff>45720</xdr:rowOff>
    </xdr:from>
    <xdr:to>
      <xdr:col>10</xdr:col>
      <xdr:colOff>60960</xdr:colOff>
      <xdr:row>5</xdr:row>
      <xdr:rowOff>15240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543A410-F835-4542-AFC4-620F32C59FD2}"/>
            </a:ext>
          </a:extLst>
        </xdr:cNvPr>
        <xdr:cNvSpPr/>
      </xdr:nvSpPr>
      <xdr:spPr>
        <a:xfrm rot="5400000">
          <a:off x="5749290" y="521970"/>
          <a:ext cx="701040" cy="114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373380</xdr:colOff>
      <xdr:row>3</xdr:row>
      <xdr:rowOff>167640</xdr:rowOff>
    </xdr:from>
    <xdr:to>
      <xdr:col>6</xdr:col>
      <xdr:colOff>83820</xdr:colOff>
      <xdr:row>6</xdr:row>
      <xdr:rowOff>175260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269EF94-6C08-4079-960E-AC5D04DD8280}"/>
            </a:ext>
          </a:extLst>
        </xdr:cNvPr>
        <xdr:cNvSpPr/>
      </xdr:nvSpPr>
      <xdr:spPr>
        <a:xfrm rot="5400000">
          <a:off x="3303270" y="834390"/>
          <a:ext cx="556260" cy="320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411480</xdr:colOff>
      <xdr:row>0</xdr:row>
      <xdr:rowOff>91440</xdr:rowOff>
    </xdr:from>
    <xdr:to>
      <xdr:col>9</xdr:col>
      <xdr:colOff>411480</xdr:colOff>
      <xdr:row>1</xdr:row>
      <xdr:rowOff>152400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1023697-0747-4F0D-B161-1B9B14B76ABF}"/>
            </a:ext>
          </a:extLst>
        </xdr:cNvPr>
        <xdr:cNvSpPr/>
      </xdr:nvSpPr>
      <xdr:spPr>
        <a:xfrm rot="10800000">
          <a:off x="4678680" y="91440"/>
          <a:ext cx="1219200" cy="243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38100</xdr:colOff>
      <xdr:row>0</xdr:row>
      <xdr:rowOff>144780</xdr:rowOff>
    </xdr:from>
    <xdr:to>
      <xdr:col>11</xdr:col>
      <xdr:colOff>601980</xdr:colOff>
      <xdr:row>3</xdr:row>
      <xdr:rowOff>53340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CF18F27-9E29-4137-955D-9F36AA52B668}"/>
            </a:ext>
          </a:extLst>
        </xdr:cNvPr>
        <xdr:cNvSpPr/>
      </xdr:nvSpPr>
      <xdr:spPr>
        <a:xfrm rot="10800000">
          <a:off x="6134100" y="144780"/>
          <a:ext cx="117348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556260</xdr:colOff>
      <xdr:row>17</xdr:row>
      <xdr:rowOff>91440</xdr:rowOff>
    </xdr:from>
    <xdr:to>
      <xdr:col>11</xdr:col>
      <xdr:colOff>579120</xdr:colOff>
      <xdr:row>20</xdr:row>
      <xdr:rowOff>22860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11805F-966A-4BFC-80F7-D056FC512F8C}"/>
            </a:ext>
          </a:extLst>
        </xdr:cNvPr>
        <xdr:cNvSpPr/>
      </xdr:nvSpPr>
      <xdr:spPr>
        <a:xfrm rot="10800000">
          <a:off x="6652260" y="3200400"/>
          <a:ext cx="63246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1</xdr:row>
      <xdr:rowOff>99060</xdr:rowOff>
    </xdr:from>
    <xdr:to>
      <xdr:col>13</xdr:col>
      <xdr:colOff>502920</xdr:colOff>
      <xdr:row>23</xdr:row>
      <xdr:rowOff>60960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26AFA3-8A7A-5D7F-CF6D-2858E0D4EC15}"/>
            </a:ext>
          </a:extLst>
        </xdr:cNvPr>
        <xdr:cNvSpPr/>
      </xdr:nvSpPr>
      <xdr:spPr>
        <a:xfrm>
          <a:off x="5303520" y="281940"/>
          <a:ext cx="4053840" cy="39852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PRIO TO PAY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</xdr:colOff>
      <xdr:row>5</xdr:row>
      <xdr:rowOff>26670</xdr:rowOff>
    </xdr:from>
    <xdr:to>
      <xdr:col>4</xdr:col>
      <xdr:colOff>704850</xdr:colOff>
      <xdr:row>17</xdr:row>
      <xdr:rowOff>182880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8B6FFB-422A-4703-19FA-39C362904033}"/>
            </a:ext>
          </a:extLst>
        </xdr:cNvPr>
        <xdr:cNvSpPr/>
      </xdr:nvSpPr>
      <xdr:spPr>
        <a:xfrm>
          <a:off x="2958465" y="979170"/>
          <a:ext cx="672465" cy="244221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noFill/>
            </a:rPr>
            <a:t>cv</a:t>
          </a:r>
        </a:p>
      </xdr:txBody>
    </xdr:sp>
    <xdr:clientData/>
  </xdr:twoCellAnchor>
  <xdr:twoCellAnchor>
    <xdr:from>
      <xdr:col>13</xdr:col>
      <xdr:colOff>601980</xdr:colOff>
      <xdr:row>0</xdr:row>
      <xdr:rowOff>15240</xdr:rowOff>
    </xdr:from>
    <xdr:to>
      <xdr:col>15</xdr:col>
      <xdr:colOff>45720</xdr:colOff>
      <xdr:row>12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55CF57-16E9-4AEA-BB31-3203C1F2F35D}"/>
            </a:ext>
          </a:extLst>
        </xdr:cNvPr>
        <xdr:cNvSpPr/>
      </xdr:nvSpPr>
      <xdr:spPr>
        <a:xfrm>
          <a:off x="7680960" y="15240"/>
          <a:ext cx="777240" cy="221742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noFill/>
            </a:rPr>
            <a:t>cv</a:t>
          </a:r>
        </a:p>
      </xdr:txBody>
    </xdr:sp>
    <xdr:clientData/>
  </xdr:twoCellAnchor>
  <xdr:twoCellAnchor>
    <xdr:from>
      <xdr:col>12</xdr:col>
      <xdr:colOff>777240</xdr:colOff>
      <xdr:row>0</xdr:row>
      <xdr:rowOff>30480</xdr:rowOff>
    </xdr:from>
    <xdr:to>
      <xdr:col>17</xdr:col>
      <xdr:colOff>30480</xdr:colOff>
      <xdr:row>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65283AF-1053-4AE2-949F-26F76FC69BAE}"/>
            </a:ext>
          </a:extLst>
        </xdr:cNvPr>
        <xdr:cNvSpPr/>
      </xdr:nvSpPr>
      <xdr:spPr>
        <a:xfrm>
          <a:off x="7040880" y="30480"/>
          <a:ext cx="2674620" cy="88392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noFill/>
            </a:rPr>
            <a:t>cv</a:t>
          </a:r>
        </a:p>
      </xdr:txBody>
    </xdr:sp>
    <xdr:clientData/>
  </xdr:twoCellAnchor>
  <xdr:twoCellAnchor>
    <xdr:from>
      <xdr:col>12</xdr:col>
      <xdr:colOff>784860</xdr:colOff>
      <xdr:row>4</xdr:row>
      <xdr:rowOff>167640</xdr:rowOff>
    </xdr:from>
    <xdr:to>
      <xdr:col>17</xdr:col>
      <xdr:colOff>38100</xdr:colOff>
      <xdr:row>10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2E0F18F-0C4F-445F-A059-1F81F6BC00A3}"/>
            </a:ext>
          </a:extLst>
        </xdr:cNvPr>
        <xdr:cNvSpPr/>
      </xdr:nvSpPr>
      <xdr:spPr>
        <a:xfrm>
          <a:off x="7048500" y="899160"/>
          <a:ext cx="2674620" cy="96774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noFill/>
            </a:rPr>
            <a:t>cv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67236</xdr:colOff>
      <xdr:row>0</xdr:row>
      <xdr:rowOff>0</xdr:rowOff>
    </xdr:from>
    <xdr:to>
      <xdr:col>7</xdr:col>
      <xdr:colOff>149412</xdr:colOff>
      <xdr:row>7</xdr:row>
      <xdr:rowOff>22413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0D8A365D-9F59-E876-1F1F-F29CD1E19DF8}"/>
            </a:ext>
          </a:extLst>
        </xdr:cNvPr>
        <xdr:cNvSpPr/>
      </xdr:nvSpPr>
      <xdr:spPr>
        <a:xfrm>
          <a:off x="6701118" y="0"/>
          <a:ext cx="2532529" cy="1374589"/>
        </a:xfrm>
        <a:prstGeom prst="wedgeEllipseCallout">
          <a:avLst>
            <a:gd name="adj1" fmla="val -179240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Put your</a:t>
          </a:r>
          <a:r>
            <a:rPr lang="en-US" sz="1100" baseline="0"/>
            <a:t> year</a:t>
          </a:r>
          <a:r>
            <a:rPr lang="en-US" sz="1100" i="1" baseline="0"/>
            <a:t>ly</a:t>
          </a:r>
          <a:r>
            <a:rPr lang="en-US" sz="1100" baseline="0"/>
            <a:t> income on yellow cell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</xdr:colOff>
      <xdr:row>5</xdr:row>
      <xdr:rowOff>26670</xdr:rowOff>
    </xdr:from>
    <xdr:to>
      <xdr:col>4</xdr:col>
      <xdr:colOff>704850</xdr:colOff>
      <xdr:row>17</xdr:row>
      <xdr:rowOff>182880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C7A5620-F739-4E43-913F-582423C2CAC2}"/>
            </a:ext>
          </a:extLst>
        </xdr:cNvPr>
        <xdr:cNvSpPr/>
      </xdr:nvSpPr>
      <xdr:spPr>
        <a:xfrm>
          <a:off x="2960370" y="981075"/>
          <a:ext cx="674370" cy="244221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ison.cabusay\OneDrive%20-%20Accenture\2024.xlsx" TargetMode="External"/><Relationship Id="rId1" Type="http://schemas.openxmlformats.org/officeDocument/2006/relationships/externalLinkPath" Target="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2nd Entry 2024"/>
      <sheetName val="1st Entry 2024"/>
      <sheetName val="Monthly Payable"/>
      <sheetName val="Budget Balancing"/>
      <sheetName val="Liabilities"/>
      <sheetName val="Assets"/>
      <sheetName val="Paula"/>
    </sheetNames>
    <sheetDataSet>
      <sheetData sheetId="0"/>
      <sheetData sheetId="1"/>
      <sheetData sheetId="2">
        <row r="2">
          <cell r="D2">
            <v>8800</v>
          </cell>
          <cell r="H2">
            <v>22385.83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6FE9-D201-4167-982A-5F1BE32B79EF}">
  <dimension ref="A1:R18"/>
  <sheetViews>
    <sheetView workbookViewId="0">
      <selection activeCell="M14" sqref="M14"/>
    </sheetView>
  </sheetViews>
  <sheetFormatPr defaultRowHeight="15" customHeight="1" x14ac:dyDescent="0.3"/>
  <cols>
    <col min="1" max="1" width="9.33203125" customWidth="1"/>
    <col min="2" max="2" width="11.88671875" bestFit="1" customWidth="1"/>
    <col min="3" max="3" width="11.88671875" customWidth="1"/>
    <col min="4" max="4" width="12" bestFit="1" customWidth="1"/>
    <col min="5" max="5" width="14.44140625" customWidth="1"/>
    <col min="6" max="6" width="18.44140625" bestFit="1" customWidth="1"/>
    <col min="7" max="7" width="12.44140625" bestFit="1" customWidth="1"/>
    <col min="11" max="11" width="19.33203125" bestFit="1" customWidth="1"/>
    <col min="12" max="12" width="24.5546875" customWidth="1"/>
    <col min="13" max="13" width="14.5546875" customWidth="1"/>
    <col min="18" max="18" width="13" customWidth="1"/>
  </cols>
  <sheetData>
    <row r="1" spans="1:18" ht="14.4" x14ac:dyDescent="0.3">
      <c r="A1" s="170" t="s">
        <v>0</v>
      </c>
      <c r="B1" s="170"/>
      <c r="C1" s="170"/>
      <c r="D1" s="170"/>
      <c r="E1" s="170"/>
      <c r="F1" s="170"/>
      <c r="G1" s="170"/>
    </row>
    <row r="2" spans="1:18" ht="14.4" x14ac:dyDescent="0.3">
      <c r="A2" s="1"/>
      <c r="B2" s="1"/>
      <c r="C2" s="1">
        <v>15</v>
      </c>
      <c r="D2" s="1">
        <v>15</v>
      </c>
      <c r="E2" s="1">
        <v>30</v>
      </c>
      <c r="F2" s="1"/>
      <c r="G2" s="2"/>
      <c r="H2" t="s">
        <v>1</v>
      </c>
      <c r="M2" t="s">
        <v>2</v>
      </c>
      <c r="N2" t="s">
        <v>3</v>
      </c>
      <c r="O2" t="s">
        <v>4</v>
      </c>
    </row>
    <row r="3" spans="1:18" ht="14.4" x14ac:dyDescent="0.3">
      <c r="A3" s="171" t="s">
        <v>5</v>
      </c>
      <c r="B3" t="s">
        <v>6</v>
      </c>
      <c r="C3" s="77">
        <v>23138</v>
      </c>
      <c r="D3" s="77">
        <v>20000</v>
      </c>
      <c r="E3" s="77"/>
      <c r="F3" s="74" t="s">
        <v>7</v>
      </c>
      <c r="G3" s="3"/>
      <c r="H3" t="s">
        <v>8</v>
      </c>
      <c r="L3" t="s">
        <v>9</v>
      </c>
      <c r="M3">
        <v>7500</v>
      </c>
      <c r="N3" t="s">
        <v>10</v>
      </c>
      <c r="O3" t="s">
        <v>11</v>
      </c>
      <c r="P3" t="s">
        <v>12</v>
      </c>
    </row>
    <row r="4" spans="1:18" ht="14.4" x14ac:dyDescent="0.3">
      <c r="A4" s="171"/>
      <c r="B4" t="s">
        <v>13</v>
      </c>
      <c r="C4" s="77">
        <v>23039</v>
      </c>
      <c r="D4" s="77">
        <v>20000</v>
      </c>
      <c r="E4" s="77">
        <v>3039</v>
      </c>
      <c r="F4" s="74" t="s">
        <v>7</v>
      </c>
      <c r="G4" s="5"/>
      <c r="H4" t="s">
        <v>14</v>
      </c>
      <c r="M4">
        <v>1250</v>
      </c>
      <c r="N4" t="s">
        <v>6</v>
      </c>
      <c r="O4" t="s">
        <v>11</v>
      </c>
      <c r="P4" t="s">
        <v>15</v>
      </c>
    </row>
    <row r="5" spans="1:18" ht="14.4" x14ac:dyDescent="0.3">
      <c r="A5" s="171"/>
      <c r="B5" t="s">
        <v>16</v>
      </c>
      <c r="C5" s="7">
        <v>3003</v>
      </c>
      <c r="D5" s="7">
        <v>3003</v>
      </c>
      <c r="E5" s="91"/>
      <c r="F5" s="75"/>
    </row>
    <row r="6" spans="1:18" ht="14.4" x14ac:dyDescent="0.3">
      <c r="A6" s="171"/>
      <c r="B6" t="s">
        <v>17</v>
      </c>
      <c r="C6" s="8"/>
      <c r="D6" s="8"/>
      <c r="E6" s="78">
        <v>1786.27</v>
      </c>
      <c r="F6" s="76"/>
    </row>
    <row r="7" spans="1:18" ht="14.4" x14ac:dyDescent="0.3">
      <c r="A7" s="171"/>
      <c r="B7" t="s">
        <v>18</v>
      </c>
      <c r="C7" s="77">
        <v>6745</v>
      </c>
      <c r="D7" s="77">
        <v>6745</v>
      </c>
      <c r="E7" s="79">
        <v>0</v>
      </c>
      <c r="F7" s="76"/>
      <c r="L7" t="s">
        <v>19</v>
      </c>
      <c r="M7">
        <f>SUM(M3:M6)</f>
        <v>8750</v>
      </c>
    </row>
    <row r="8" spans="1:18" ht="14.4" x14ac:dyDescent="0.3">
      <c r="A8" s="171"/>
      <c r="B8" t="s">
        <v>20</v>
      </c>
      <c r="C8" s="77">
        <v>4375</v>
      </c>
      <c r="D8" s="77">
        <v>4375</v>
      </c>
      <c r="E8" s="80">
        <v>0</v>
      </c>
      <c r="F8" s="74"/>
      <c r="G8" t="s">
        <v>21</v>
      </c>
    </row>
    <row r="9" spans="1:18" ht="14.4" x14ac:dyDescent="0.3">
      <c r="A9" s="171"/>
      <c r="B9" t="s">
        <v>22</v>
      </c>
      <c r="C9" s="6"/>
      <c r="D9" s="6"/>
      <c r="E9" s="79"/>
      <c r="F9" s="76"/>
    </row>
    <row r="10" spans="1:18" ht="14.4" x14ac:dyDescent="0.3">
      <c r="C10" s="4"/>
      <c r="D10" s="4"/>
      <c r="E10" s="4"/>
      <c r="G10" s="73"/>
    </row>
    <row r="11" spans="1:18" ht="14.4" customHeight="1" x14ac:dyDescent="0.3">
      <c r="A11" s="172" t="s">
        <v>23</v>
      </c>
      <c r="B11" t="s">
        <v>24</v>
      </c>
      <c r="C11" s="7">
        <v>3500</v>
      </c>
      <c r="D11" s="7">
        <v>3500</v>
      </c>
      <c r="E11" s="7">
        <v>3500</v>
      </c>
      <c r="F11" s="76"/>
    </row>
    <row r="12" spans="1:18" ht="14.4" customHeight="1" x14ac:dyDescent="0.3">
      <c r="A12" s="172"/>
      <c r="B12" t="s">
        <v>25</v>
      </c>
      <c r="C12" s="7">
        <v>3250</v>
      </c>
      <c r="D12" s="7">
        <v>3250</v>
      </c>
      <c r="E12" s="7"/>
      <c r="F12" s="76"/>
    </row>
    <row r="13" spans="1:18" ht="14.4" x14ac:dyDescent="0.3">
      <c r="A13" s="172"/>
      <c r="B13" t="s">
        <v>26</v>
      </c>
      <c r="C13" s="6"/>
      <c r="D13" s="6"/>
      <c r="E13" s="6">
        <v>400</v>
      </c>
      <c r="F13" s="74"/>
      <c r="L13" s="89"/>
      <c r="R13" s="89"/>
    </row>
    <row r="14" spans="1:18" ht="14.4" x14ac:dyDescent="0.3">
      <c r="A14" s="172"/>
      <c r="B14" t="s">
        <v>27</v>
      </c>
      <c r="C14" s="6"/>
      <c r="D14" s="6"/>
      <c r="E14" s="6">
        <v>400</v>
      </c>
      <c r="F14" s="74"/>
      <c r="G14" s="73" t="s">
        <v>28</v>
      </c>
      <c r="L14" s="89"/>
    </row>
    <row r="15" spans="1:18" ht="14.4" x14ac:dyDescent="0.3">
      <c r="A15" s="172"/>
      <c r="B15" t="s">
        <v>29</v>
      </c>
      <c r="C15" s="7">
        <v>600</v>
      </c>
      <c r="D15" s="7">
        <v>600</v>
      </c>
      <c r="E15" s="7">
        <v>600</v>
      </c>
      <c r="F15" s="76"/>
      <c r="R15" s="89"/>
    </row>
    <row r="16" spans="1:18" ht="14.4" x14ac:dyDescent="0.3">
      <c r="A16" s="172"/>
      <c r="B16" t="s">
        <v>30</v>
      </c>
      <c r="C16" s="7">
        <v>1500</v>
      </c>
      <c r="D16" s="7">
        <v>1500</v>
      </c>
      <c r="E16" s="7">
        <v>1800</v>
      </c>
      <c r="F16" s="76"/>
    </row>
    <row r="18" spans="2:18" ht="14.4" x14ac:dyDescent="0.3">
      <c r="B18" t="s">
        <v>31</v>
      </c>
      <c r="C18" s="89">
        <f>SUM(C3:C16)</f>
        <v>69150</v>
      </c>
      <c r="D18" s="9">
        <f>SUM(D3:D16)</f>
        <v>62973</v>
      </c>
      <c r="E18" s="9">
        <f>SUM(E3:E16)</f>
        <v>11525.27</v>
      </c>
      <c r="F18" s="9"/>
      <c r="R18" s="89"/>
    </row>
  </sheetData>
  <mergeCells count="3">
    <mergeCell ref="A1:G1"/>
    <mergeCell ref="A3:A9"/>
    <mergeCell ref="A11:A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0DFC-867F-440C-9A4E-32A06D3E0F44}">
  <dimension ref="A1:R23"/>
  <sheetViews>
    <sheetView workbookViewId="0">
      <selection activeCell="F13" sqref="F13"/>
    </sheetView>
  </sheetViews>
  <sheetFormatPr defaultRowHeight="14.4" x14ac:dyDescent="0.3"/>
  <cols>
    <col min="1" max="1" width="12.88671875" bestFit="1" customWidth="1"/>
    <col min="2" max="2" width="9.33203125" bestFit="1" customWidth="1"/>
    <col min="3" max="3" width="17.33203125" customWidth="1"/>
    <col min="4" max="4" width="10.21875" bestFit="1" customWidth="1"/>
    <col min="5" max="5" width="10.6640625" bestFit="1" customWidth="1"/>
    <col min="6" max="7" width="10.21875" style="226" customWidth="1"/>
  </cols>
  <sheetData>
    <row r="1" spans="1:18" ht="15" thickBot="1" x14ac:dyDescent="0.35">
      <c r="A1" t="s">
        <v>184</v>
      </c>
    </row>
    <row r="2" spans="1:18" x14ac:dyDescent="0.3">
      <c r="A2" s="182">
        <f ca="1">MONTH(TODAY())</f>
        <v>8</v>
      </c>
      <c r="B2" s="161"/>
      <c r="C2" s="161"/>
      <c r="D2" s="161">
        <v>15</v>
      </c>
      <c r="E2" s="162">
        <v>30</v>
      </c>
      <c r="F2" s="227"/>
      <c r="G2" s="227"/>
      <c r="H2" s="173"/>
      <c r="I2" s="174"/>
      <c r="J2" s="174"/>
      <c r="K2" s="174"/>
      <c r="L2" s="174"/>
      <c r="M2" s="174"/>
      <c r="N2" s="174"/>
      <c r="O2" s="174"/>
      <c r="P2" s="174"/>
      <c r="Q2" s="174"/>
      <c r="R2" s="175"/>
    </row>
    <row r="3" spans="1:18" x14ac:dyDescent="0.3">
      <c r="A3" s="183"/>
      <c r="B3" s="140" t="s">
        <v>185</v>
      </c>
      <c r="C3" s="140" t="s">
        <v>186</v>
      </c>
      <c r="D3" s="140"/>
      <c r="E3" s="141">
        <v>11000</v>
      </c>
      <c r="H3" s="176"/>
      <c r="I3" s="177"/>
      <c r="J3" s="177"/>
      <c r="K3" s="177"/>
      <c r="L3" s="177"/>
      <c r="M3" s="177"/>
      <c r="N3" s="177"/>
      <c r="O3" s="177"/>
      <c r="P3" s="177"/>
      <c r="Q3" s="177"/>
      <c r="R3" s="178"/>
    </row>
    <row r="4" spans="1:18" x14ac:dyDescent="0.3">
      <c r="A4" s="183"/>
      <c r="B4" s="140"/>
      <c r="C4" s="140" t="s">
        <v>208</v>
      </c>
      <c r="D4" s="169">
        <v>2000</v>
      </c>
      <c r="E4" s="141">
        <v>2000</v>
      </c>
      <c r="H4" s="176"/>
      <c r="I4" s="177"/>
      <c r="J4" s="177"/>
      <c r="K4" s="177"/>
      <c r="L4" s="177"/>
      <c r="M4" s="177"/>
      <c r="N4" s="177"/>
      <c r="O4" s="177"/>
      <c r="P4" s="177"/>
      <c r="Q4" s="177"/>
      <c r="R4" s="178"/>
    </row>
    <row r="5" spans="1:18" x14ac:dyDescent="0.3">
      <c r="A5" s="183"/>
      <c r="B5" s="140"/>
      <c r="C5" s="140" t="s">
        <v>187</v>
      </c>
      <c r="D5" s="140"/>
      <c r="E5" s="168"/>
      <c r="H5" s="176"/>
      <c r="I5" s="177"/>
      <c r="J5" s="177"/>
      <c r="K5" s="177"/>
      <c r="L5" s="177"/>
      <c r="M5" s="177"/>
      <c r="N5" s="177"/>
      <c r="O5" s="177"/>
      <c r="P5" s="177"/>
      <c r="Q5" s="177"/>
      <c r="R5" s="178"/>
    </row>
    <row r="6" spans="1:18" x14ac:dyDescent="0.3">
      <c r="A6" s="183"/>
      <c r="B6" s="140"/>
      <c r="C6" s="140" t="s">
        <v>188</v>
      </c>
      <c r="D6" s="169">
        <v>800</v>
      </c>
      <c r="E6" s="140"/>
      <c r="H6" s="176"/>
      <c r="I6" s="177"/>
      <c r="J6" s="177"/>
      <c r="K6" s="177"/>
      <c r="L6" s="177"/>
      <c r="M6" s="177"/>
      <c r="N6" s="177"/>
      <c r="O6" s="177"/>
      <c r="P6" s="177"/>
      <c r="Q6" s="177"/>
      <c r="R6" s="178"/>
    </row>
    <row r="7" spans="1:18" x14ac:dyDescent="0.3">
      <c r="A7" s="183"/>
      <c r="B7" s="139" t="s">
        <v>189</v>
      </c>
      <c r="C7" s="139" t="s">
        <v>102</v>
      </c>
      <c r="E7" s="141"/>
      <c r="F7" s="227"/>
      <c r="G7" s="227"/>
      <c r="H7" s="176"/>
      <c r="I7" s="177"/>
      <c r="J7" s="177"/>
      <c r="K7" s="177"/>
      <c r="L7" s="177"/>
      <c r="M7" s="177"/>
      <c r="N7" s="177"/>
      <c r="O7" s="177"/>
      <c r="P7" s="177"/>
      <c r="Q7" s="177"/>
      <c r="R7" s="178"/>
    </row>
    <row r="8" spans="1:18" x14ac:dyDescent="0.3">
      <c r="A8" s="183"/>
      <c r="B8" s="139"/>
      <c r="C8" s="139" t="s">
        <v>181</v>
      </c>
      <c r="D8" s="169">
        <f>2187+3281</f>
        <v>5468</v>
      </c>
      <c r="E8" s="141"/>
      <c r="F8" s="227"/>
      <c r="G8" s="227"/>
      <c r="H8" s="176"/>
      <c r="I8" s="177"/>
      <c r="J8" s="177"/>
      <c r="K8" s="177"/>
      <c r="L8" s="177"/>
      <c r="M8" s="177"/>
      <c r="N8" s="177"/>
      <c r="O8" s="177"/>
      <c r="P8" s="177"/>
      <c r="Q8" s="177"/>
      <c r="R8" s="178"/>
    </row>
    <row r="9" spans="1:18" x14ac:dyDescent="0.3">
      <c r="A9" s="183"/>
      <c r="B9" s="139"/>
      <c r="C9" s="139" t="s">
        <v>6</v>
      </c>
      <c r="D9" s="169">
        <v>1340</v>
      </c>
      <c r="E9" s="141"/>
      <c r="F9" s="227"/>
      <c r="G9" s="227"/>
      <c r="H9" s="176"/>
      <c r="I9" s="177"/>
      <c r="J9" s="177"/>
      <c r="K9" s="177"/>
      <c r="L9" s="177"/>
      <c r="M9" s="177"/>
      <c r="N9" s="177"/>
      <c r="O9" s="177"/>
      <c r="P9" s="177"/>
      <c r="Q9" s="177"/>
      <c r="R9" s="178"/>
    </row>
    <row r="10" spans="1:18" x14ac:dyDescent="0.3">
      <c r="A10" s="183"/>
      <c r="B10" s="139"/>
      <c r="C10" s="139" t="s">
        <v>22</v>
      </c>
      <c r="D10" s="169">
        <v>1234.47</v>
      </c>
      <c r="E10" s="141"/>
      <c r="F10" s="227"/>
      <c r="G10" s="227"/>
      <c r="H10" s="176"/>
      <c r="I10" s="177"/>
      <c r="J10" s="177"/>
      <c r="K10" s="177"/>
      <c r="L10" s="177"/>
      <c r="M10" s="177"/>
      <c r="N10" s="177"/>
      <c r="O10" s="177"/>
      <c r="P10" s="177"/>
      <c r="Q10" s="177"/>
      <c r="R10" s="178"/>
    </row>
    <row r="11" spans="1:18" x14ac:dyDescent="0.3">
      <c r="A11" s="183"/>
      <c r="B11" s="139"/>
      <c r="C11" s="139" t="s">
        <v>180</v>
      </c>
      <c r="D11" s="140">
        <v>964.38</v>
      </c>
      <c r="E11" s="141"/>
      <c r="F11" s="227"/>
      <c r="G11" s="227"/>
      <c r="H11" s="176"/>
      <c r="I11" s="177"/>
      <c r="J11" s="177"/>
      <c r="K11" s="177"/>
      <c r="L11" s="177"/>
      <c r="M11" s="177"/>
      <c r="N11" s="177"/>
      <c r="O11" s="177"/>
      <c r="P11" s="177"/>
      <c r="Q11" s="177"/>
      <c r="R11" s="178"/>
    </row>
    <row r="12" spans="1:18" hidden="1" x14ac:dyDescent="0.3">
      <c r="A12" s="183"/>
      <c r="B12" s="139"/>
      <c r="C12" s="139" t="s">
        <v>209</v>
      </c>
      <c r="D12" s="140"/>
      <c r="E12" s="141"/>
      <c r="F12" s="227"/>
      <c r="G12" s="227"/>
      <c r="H12" s="176"/>
      <c r="I12" s="177"/>
      <c r="J12" s="177"/>
      <c r="K12" s="177"/>
      <c r="L12" s="177"/>
      <c r="M12" s="177"/>
      <c r="N12" s="177"/>
      <c r="O12" s="177"/>
      <c r="P12" s="177"/>
      <c r="Q12" s="177"/>
      <c r="R12" s="178"/>
    </row>
    <row r="13" spans="1:18" x14ac:dyDescent="0.3">
      <c r="A13" s="183"/>
      <c r="B13" s="139"/>
      <c r="C13" s="139" t="s">
        <v>17</v>
      </c>
      <c r="D13" s="140"/>
      <c r="E13" s="141">
        <v>1789</v>
      </c>
      <c r="F13" s="227"/>
      <c r="G13" s="227"/>
      <c r="H13" s="176"/>
      <c r="I13" s="177"/>
      <c r="J13" s="177"/>
      <c r="K13" s="177"/>
      <c r="L13" s="177"/>
      <c r="M13" s="177"/>
      <c r="N13" s="177"/>
      <c r="O13" s="177"/>
      <c r="P13" s="177"/>
      <c r="Q13" s="177"/>
      <c r="R13" s="178"/>
    </row>
    <row r="14" spans="1:18" x14ac:dyDescent="0.3">
      <c r="A14" s="183"/>
      <c r="B14" s="140" t="s">
        <v>190</v>
      </c>
      <c r="C14" s="140" t="s">
        <v>191</v>
      </c>
      <c r="D14" s="169">
        <v>3500</v>
      </c>
      <c r="E14" s="141">
        <v>3000</v>
      </c>
      <c r="F14" s="227"/>
      <c r="G14" s="227"/>
      <c r="H14" s="176"/>
      <c r="I14" s="177"/>
      <c r="J14" s="177"/>
      <c r="K14" s="177"/>
      <c r="L14" s="177"/>
      <c r="M14" s="177"/>
      <c r="N14" s="177"/>
      <c r="O14" s="177"/>
      <c r="P14" s="177"/>
      <c r="Q14" s="177"/>
      <c r="R14" s="178"/>
    </row>
    <row r="15" spans="1:18" x14ac:dyDescent="0.3">
      <c r="A15" s="183"/>
      <c r="B15" s="140"/>
      <c r="C15" s="140" t="s">
        <v>192</v>
      </c>
      <c r="D15" s="140"/>
      <c r="E15" s="141">
        <v>850</v>
      </c>
      <c r="F15" s="227"/>
      <c r="G15" s="227"/>
      <c r="H15" s="176"/>
      <c r="I15" s="177"/>
      <c r="J15" s="177"/>
      <c r="K15" s="177"/>
      <c r="L15" s="177"/>
      <c r="M15" s="177"/>
      <c r="N15" s="177"/>
      <c r="O15" s="177"/>
      <c r="P15" s="177"/>
      <c r="Q15" s="177"/>
      <c r="R15" s="178"/>
    </row>
    <row r="16" spans="1:18" ht="15" thickBot="1" x14ac:dyDescent="0.35">
      <c r="A16" s="184"/>
      <c r="B16" s="142"/>
      <c r="C16" s="142" t="s">
        <v>207</v>
      </c>
      <c r="D16" s="140">
        <v>155</v>
      </c>
      <c r="E16" s="143">
        <v>310</v>
      </c>
      <c r="F16" s="227"/>
      <c r="G16" s="227"/>
      <c r="H16" s="176"/>
      <c r="I16" s="177"/>
      <c r="J16" s="177"/>
      <c r="K16" s="177"/>
      <c r="L16" s="177"/>
      <c r="M16" s="177"/>
      <c r="N16" s="177"/>
      <c r="O16" s="177"/>
      <c r="P16" s="177"/>
      <c r="Q16" s="177"/>
      <c r="R16" s="178"/>
    </row>
    <row r="17" spans="3:18" x14ac:dyDescent="0.3">
      <c r="H17" s="176"/>
      <c r="I17" s="177"/>
      <c r="J17" s="177"/>
      <c r="K17" s="177"/>
      <c r="L17" s="177"/>
      <c r="M17" s="177"/>
      <c r="N17" s="177"/>
      <c r="O17" s="177"/>
      <c r="P17" s="177"/>
      <c r="Q17" s="177"/>
      <c r="R17" s="178"/>
    </row>
    <row r="18" spans="3:18" x14ac:dyDescent="0.3">
      <c r="C18" t="s">
        <v>19</v>
      </c>
      <c r="D18" s="114">
        <f>SUM(D3:D16)</f>
        <v>15461.849999999999</v>
      </c>
      <c r="E18" s="114">
        <f>SUM(E3:E16)</f>
        <v>18949</v>
      </c>
      <c r="F18" s="165"/>
      <c r="G18" s="165"/>
      <c r="H18" s="176"/>
      <c r="I18" s="177"/>
      <c r="J18" s="177"/>
      <c r="K18" s="177"/>
      <c r="L18" s="177"/>
      <c r="M18" s="177"/>
      <c r="N18" s="177"/>
      <c r="O18" s="177"/>
      <c r="P18" s="177"/>
      <c r="Q18" s="177"/>
      <c r="R18" s="178"/>
    </row>
    <row r="19" spans="3:18" x14ac:dyDescent="0.3">
      <c r="H19" s="176"/>
      <c r="I19" s="177"/>
      <c r="J19" s="177"/>
      <c r="K19" s="177"/>
      <c r="L19" s="177"/>
      <c r="M19" s="177"/>
      <c r="N19" s="177"/>
      <c r="O19" s="177"/>
      <c r="P19" s="177"/>
      <c r="Q19" s="177"/>
      <c r="R19" s="178"/>
    </row>
    <row r="20" spans="3:18" x14ac:dyDescent="0.3">
      <c r="C20" t="s">
        <v>201</v>
      </c>
      <c r="D20" s="114">
        <v>16000</v>
      </c>
      <c r="E20" s="114">
        <f>13000</f>
        <v>13000</v>
      </c>
      <c r="F20" s="165"/>
      <c r="G20" s="165"/>
      <c r="H20" s="176"/>
      <c r="I20" s="177"/>
      <c r="J20" s="177"/>
      <c r="K20" s="177"/>
      <c r="L20" s="177"/>
      <c r="M20" s="177"/>
      <c r="N20" s="177"/>
      <c r="O20" s="177"/>
      <c r="P20" s="177"/>
      <c r="Q20" s="177"/>
      <c r="R20" s="178"/>
    </row>
    <row r="21" spans="3:18" ht="15" thickBot="1" x14ac:dyDescent="0.35">
      <c r="H21" s="179"/>
      <c r="I21" s="180"/>
      <c r="J21" s="180"/>
      <c r="K21" s="180"/>
      <c r="L21" s="180"/>
      <c r="M21" s="180"/>
      <c r="N21" s="180"/>
      <c r="O21" s="180"/>
      <c r="P21" s="180"/>
      <c r="Q21" s="180"/>
      <c r="R21" s="181"/>
    </row>
    <row r="22" spans="3:18" x14ac:dyDescent="0.3">
      <c r="C22" t="s">
        <v>217</v>
      </c>
      <c r="D22" s="115">
        <f>D20-D18</f>
        <v>538.15000000000146</v>
      </c>
      <c r="E22" s="115">
        <f>E20-E18</f>
        <v>-5949</v>
      </c>
      <c r="F22" s="228"/>
      <c r="G22" s="228"/>
    </row>
    <row r="23" spans="3:18" x14ac:dyDescent="0.3">
      <c r="E23" s="115"/>
      <c r="F23" s="228"/>
      <c r="G23" s="228"/>
    </row>
  </sheetData>
  <mergeCells count="2">
    <mergeCell ref="H2:R21"/>
    <mergeCell ref="A2:A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061F-A172-4E89-BE85-58B81A08DD66}">
  <dimension ref="B2:B3"/>
  <sheetViews>
    <sheetView tabSelected="1" workbookViewId="0">
      <selection activeCell="B4" sqref="B4"/>
    </sheetView>
  </sheetViews>
  <sheetFormatPr defaultRowHeight="14.4" x14ac:dyDescent="0.3"/>
  <sheetData>
    <row r="2" spans="2:2" x14ac:dyDescent="0.3">
      <c r="B2" t="s">
        <v>89</v>
      </c>
    </row>
    <row r="3" spans="2:2" x14ac:dyDescent="0.3">
      <c r="B3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392E-38DB-4C53-9229-1E548586C1C3}">
  <dimension ref="A1:K5"/>
  <sheetViews>
    <sheetView workbookViewId="0">
      <selection activeCell="K1" sqref="K1"/>
    </sheetView>
  </sheetViews>
  <sheetFormatPr defaultRowHeight="14.4" x14ac:dyDescent="0.3"/>
  <sheetData>
    <row r="1" spans="1:11" x14ac:dyDescent="0.3">
      <c r="A1" t="s">
        <v>218</v>
      </c>
      <c r="B1">
        <v>68000</v>
      </c>
      <c r="D1" t="s">
        <v>127</v>
      </c>
      <c r="E1">
        <v>44558.48</v>
      </c>
      <c r="H1" t="s">
        <v>39</v>
      </c>
      <c r="I1">
        <v>13000</v>
      </c>
      <c r="K1">
        <v>12000</v>
      </c>
    </row>
    <row r="2" spans="1:11" x14ac:dyDescent="0.3">
      <c r="C2">
        <f>SUM(E1:E14)</f>
        <v>61774.51</v>
      </c>
      <c r="D2" t="s">
        <v>171</v>
      </c>
      <c r="E2">
        <v>8428.0300000000007</v>
      </c>
    </row>
    <row r="3" spans="1:11" ht="18.600000000000001" customHeight="1" x14ac:dyDescent="0.3">
      <c r="D3" t="s">
        <v>210</v>
      </c>
      <c r="E3">
        <v>6603</v>
      </c>
    </row>
    <row r="4" spans="1:11" x14ac:dyDescent="0.3">
      <c r="C4" s="225">
        <f>B1-C2</f>
        <v>6225.489999999998</v>
      </c>
      <c r="E4">
        <v>875</v>
      </c>
    </row>
    <row r="5" spans="1:11" x14ac:dyDescent="0.3">
      <c r="E5">
        <f>655*2</f>
        <v>1310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3601-5962-4205-8494-4385D2EB3EA1}">
  <dimension ref="A1:N18"/>
  <sheetViews>
    <sheetView workbookViewId="0">
      <selection activeCell="M18" sqref="M18"/>
    </sheetView>
  </sheetViews>
  <sheetFormatPr defaultRowHeight="14.4" x14ac:dyDescent="0.3"/>
  <cols>
    <col min="1" max="1" width="11.77734375" bestFit="1" customWidth="1"/>
    <col min="9" max="9" width="12.33203125" bestFit="1" customWidth="1"/>
    <col min="10" max="10" width="10.109375" bestFit="1" customWidth="1"/>
    <col min="11" max="11" width="10.6640625" bestFit="1" customWidth="1"/>
  </cols>
  <sheetData>
    <row r="1" spans="1:14" x14ac:dyDescent="0.3">
      <c r="A1" t="s">
        <v>44</v>
      </c>
      <c r="B1">
        <v>23000</v>
      </c>
      <c r="I1" t="s">
        <v>18</v>
      </c>
    </row>
    <row r="2" spans="1:14" x14ac:dyDescent="0.3">
      <c r="J2">
        <v>6</v>
      </c>
      <c r="K2">
        <v>7</v>
      </c>
      <c r="L2">
        <v>8</v>
      </c>
      <c r="M2">
        <v>9</v>
      </c>
      <c r="N2">
        <v>10</v>
      </c>
    </row>
    <row r="3" spans="1:14" x14ac:dyDescent="0.3">
      <c r="A3" t="s">
        <v>212</v>
      </c>
      <c r="B3">
        <f>B9-B1</f>
        <v>12139</v>
      </c>
      <c r="J3">
        <v>3070</v>
      </c>
      <c r="K3">
        <v>5249</v>
      </c>
      <c r="L3">
        <v>5249</v>
      </c>
      <c r="M3">
        <v>5249</v>
      </c>
    </row>
    <row r="4" spans="1:14" x14ac:dyDescent="0.3">
      <c r="J4">
        <v>4375</v>
      </c>
      <c r="K4">
        <v>4375</v>
      </c>
    </row>
    <row r="5" spans="1:14" x14ac:dyDescent="0.3">
      <c r="J5">
        <v>4375</v>
      </c>
      <c r="K5">
        <v>4375</v>
      </c>
      <c r="L5">
        <v>4375</v>
      </c>
    </row>
    <row r="7" spans="1:14" x14ac:dyDescent="0.3">
      <c r="I7" t="s">
        <v>31</v>
      </c>
      <c r="J7">
        <f>SUM(J3:J5)</f>
        <v>11820</v>
      </c>
      <c r="K7">
        <f t="shared" ref="K7:L7" si="0">SUM(K3:K5)</f>
        <v>13999</v>
      </c>
      <c r="L7">
        <f t="shared" si="0"/>
        <v>9624</v>
      </c>
    </row>
    <row r="8" spans="1:14" x14ac:dyDescent="0.3">
      <c r="I8" t="s">
        <v>215</v>
      </c>
      <c r="J8" t="s">
        <v>216</v>
      </c>
      <c r="K8" t="s">
        <v>217</v>
      </c>
    </row>
    <row r="9" spans="1:14" x14ac:dyDescent="0.3">
      <c r="A9" t="s">
        <v>31</v>
      </c>
      <c r="B9">
        <f>SUM(B11:B27)</f>
        <v>35139</v>
      </c>
      <c r="H9" s="92">
        <v>45488</v>
      </c>
      <c r="I9" s="114">
        <f>10000+5249</f>
        <v>15249</v>
      </c>
      <c r="J9" s="114">
        <v>15000</v>
      </c>
      <c r="K9" s="115">
        <f>J9-I9</f>
        <v>-249</v>
      </c>
    </row>
    <row r="10" spans="1:14" x14ac:dyDescent="0.3">
      <c r="H10" s="92">
        <v>45503</v>
      </c>
      <c r="I10" s="114">
        <f>21500 + 4375+4375</f>
        <v>30250</v>
      </c>
      <c r="J10" s="114">
        <v>13000</v>
      </c>
      <c r="K10" s="115">
        <f t="shared" ref="K10:K16" si="1">J10-I10</f>
        <v>-17250</v>
      </c>
    </row>
    <row r="11" spans="1:14" x14ac:dyDescent="0.3">
      <c r="A11" t="s">
        <v>10</v>
      </c>
      <c r="B11">
        <v>2000</v>
      </c>
      <c r="H11" s="92">
        <v>45518</v>
      </c>
      <c r="I11" s="114">
        <f>10000+5249</f>
        <v>15249</v>
      </c>
      <c r="J11" s="114">
        <v>15000</v>
      </c>
      <c r="K11" s="115">
        <f t="shared" si="1"/>
        <v>-249</v>
      </c>
    </row>
    <row r="12" spans="1:14" x14ac:dyDescent="0.3">
      <c r="A12" t="s">
        <v>18</v>
      </c>
      <c r="B12">
        <v>12000</v>
      </c>
      <c r="H12" s="92">
        <v>45533</v>
      </c>
      <c r="I12" s="114">
        <f>21500+4375</f>
        <v>25875</v>
      </c>
      <c r="J12" s="114">
        <v>13000</v>
      </c>
      <c r="K12" s="115">
        <f t="shared" si="1"/>
        <v>-12875</v>
      </c>
    </row>
    <row r="13" spans="1:14" x14ac:dyDescent="0.3">
      <c r="A13" t="s">
        <v>34</v>
      </c>
      <c r="B13">
        <v>12000</v>
      </c>
      <c r="H13" s="92">
        <v>45548</v>
      </c>
      <c r="I13" s="114">
        <f>10000+5249</f>
        <v>15249</v>
      </c>
      <c r="J13" s="114">
        <v>15000</v>
      </c>
      <c r="K13" s="115">
        <f t="shared" si="1"/>
        <v>-249</v>
      </c>
    </row>
    <row r="14" spans="1:14" x14ac:dyDescent="0.3">
      <c r="A14" t="s">
        <v>214</v>
      </c>
      <c r="B14">
        <v>1789</v>
      </c>
      <c r="H14" s="92">
        <v>45563</v>
      </c>
      <c r="I14" s="114">
        <v>21500</v>
      </c>
      <c r="J14" s="114">
        <v>13000</v>
      </c>
      <c r="K14" s="115">
        <f t="shared" si="1"/>
        <v>-8500</v>
      </c>
    </row>
    <row r="15" spans="1:14" x14ac:dyDescent="0.3">
      <c r="A15" t="s">
        <v>30</v>
      </c>
      <c r="B15">
        <v>2000</v>
      </c>
      <c r="H15" s="92">
        <v>45578</v>
      </c>
      <c r="I15" s="114">
        <v>10000</v>
      </c>
      <c r="J15" s="114">
        <v>15000</v>
      </c>
      <c r="K15" s="115">
        <f t="shared" si="1"/>
        <v>5000</v>
      </c>
    </row>
    <row r="16" spans="1:14" x14ac:dyDescent="0.3">
      <c r="A16" t="s">
        <v>24</v>
      </c>
      <c r="B16">
        <v>3500</v>
      </c>
      <c r="H16" s="92">
        <v>45593</v>
      </c>
      <c r="I16" s="114">
        <v>21500</v>
      </c>
      <c r="J16" s="114">
        <v>13000</v>
      </c>
      <c r="K16" s="115">
        <f t="shared" si="1"/>
        <v>-8500</v>
      </c>
    </row>
    <row r="17" spans="1:2" x14ac:dyDescent="0.3">
      <c r="A17" t="s">
        <v>211</v>
      </c>
      <c r="B17">
        <v>850</v>
      </c>
    </row>
    <row r="18" spans="1:2" x14ac:dyDescent="0.3">
      <c r="A18" t="s">
        <v>213</v>
      </c>
      <c r="B18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778-E407-4625-ACF7-268E571ED9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B54E-B049-4DA7-A28A-49765D7A998A}">
  <dimension ref="A1:L24"/>
  <sheetViews>
    <sheetView workbookViewId="0">
      <selection activeCell="Q20" sqref="Q20"/>
    </sheetView>
  </sheetViews>
  <sheetFormatPr defaultRowHeight="14.4" x14ac:dyDescent="0.3"/>
  <sheetData>
    <row r="1" spans="1:12" x14ac:dyDescent="0.3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x14ac:dyDescent="0.3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2" x14ac:dyDescent="0.3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x14ac:dyDescent="0.3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x14ac:dyDescent="0.3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</row>
    <row r="7" spans="1:12" x14ac:dyDescent="0.3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</row>
    <row r="8" spans="1:12" x14ac:dyDescent="0.3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</row>
    <row r="9" spans="1:12" x14ac:dyDescent="0.3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</row>
    <row r="10" spans="1:12" x14ac:dyDescent="0.3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</row>
    <row r="11" spans="1:12" x14ac:dyDescent="0.3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</row>
    <row r="12" spans="1:12" x14ac:dyDescent="0.3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3" spans="1:12" x14ac:dyDescent="0.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</row>
    <row r="14" spans="1:12" x14ac:dyDescent="0.3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</row>
    <row r="15" spans="1:12" x14ac:dyDescent="0.3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</row>
    <row r="16" spans="1:12" x14ac:dyDescent="0.3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</row>
    <row r="17" spans="1:12" x14ac:dyDescent="0.3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</row>
    <row r="18" spans="1:12" x14ac:dyDescent="0.3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</row>
    <row r="19" spans="1:12" x14ac:dyDescent="0.3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</row>
    <row r="20" spans="1:12" x14ac:dyDescent="0.3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</row>
    <row r="21" spans="1:12" x14ac:dyDescent="0.3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</row>
    <row r="22" spans="1:12" x14ac:dyDescent="0.3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</row>
    <row r="23" spans="1:12" x14ac:dyDescent="0.3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</row>
    <row r="24" spans="1:12" x14ac:dyDescent="0.3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C13D-1303-49B6-8918-AB708E4E752D}">
  <dimension ref="A1:Z43"/>
  <sheetViews>
    <sheetView topLeftCell="A15" zoomScaleNormal="100" workbookViewId="0">
      <selection activeCell="J33" sqref="J33"/>
    </sheetView>
  </sheetViews>
  <sheetFormatPr defaultRowHeight="14.4" x14ac:dyDescent="0.3"/>
  <cols>
    <col min="1" max="1" width="10.109375" bestFit="1" customWidth="1"/>
    <col min="2" max="2" width="14" bestFit="1" customWidth="1"/>
    <col min="3" max="3" width="12.33203125" customWidth="1"/>
    <col min="4" max="4" width="12.6640625" customWidth="1"/>
    <col min="17" max="17" width="12" bestFit="1" customWidth="1"/>
    <col min="18" max="18" width="10.5546875" bestFit="1" customWidth="1"/>
    <col min="19" max="19" width="16.21875" bestFit="1" customWidth="1"/>
    <col min="20" max="20" width="11.44140625" customWidth="1"/>
    <col min="21" max="22" width="12.5546875" bestFit="1" customWidth="1"/>
    <col min="23" max="24" width="10.109375" bestFit="1" customWidth="1"/>
  </cols>
  <sheetData>
    <row r="1" spans="1:24" ht="15" thickBot="1" x14ac:dyDescent="0.35">
      <c r="S1" t="s">
        <v>130</v>
      </c>
      <c r="T1" t="s">
        <v>131</v>
      </c>
    </row>
    <row r="2" spans="1:24" x14ac:dyDescent="0.3">
      <c r="A2" s="1" t="s">
        <v>128</v>
      </c>
      <c r="B2" s="1"/>
      <c r="C2" s="1" t="s">
        <v>32</v>
      </c>
      <c r="D2" s="1" t="s">
        <v>33</v>
      </c>
      <c r="H2" s="185"/>
      <c r="I2" s="186"/>
      <c r="J2" s="186"/>
      <c r="K2" s="186"/>
      <c r="L2" s="186"/>
      <c r="M2" s="186"/>
      <c r="N2" s="187"/>
      <c r="Q2" t="s">
        <v>6</v>
      </c>
      <c r="R2" s="115">
        <f>'[1]1st Entry 2024'!$D$2</f>
        <v>8800</v>
      </c>
      <c r="V2" t="s">
        <v>6</v>
      </c>
      <c r="W2" s="114">
        <v>20310</v>
      </c>
      <c r="X2" s="115">
        <f>SUM(R2,R25,W13:W14)</f>
        <v>20330</v>
      </c>
    </row>
    <row r="3" spans="1:24" x14ac:dyDescent="0.3">
      <c r="A3" s="1"/>
      <c r="B3" s="1" t="s">
        <v>24</v>
      </c>
      <c r="C3" s="163">
        <v>3000</v>
      </c>
      <c r="D3" s="106">
        <f>3500+800</f>
        <v>4300</v>
      </c>
      <c r="H3" s="188"/>
      <c r="I3" s="189"/>
      <c r="J3" s="189"/>
      <c r="K3" s="189"/>
      <c r="L3" s="189"/>
      <c r="M3" s="189"/>
      <c r="N3" s="190"/>
      <c r="R3" s="115"/>
      <c r="U3" s="114"/>
      <c r="V3" s="115"/>
      <c r="W3" s="115"/>
    </row>
    <row r="4" spans="1:24" x14ac:dyDescent="0.3">
      <c r="A4" s="1"/>
      <c r="B4" s="1" t="s">
        <v>34</v>
      </c>
      <c r="C4" s="163">
        <v>6000</v>
      </c>
      <c r="D4" s="106"/>
      <c r="H4" s="188"/>
      <c r="I4" s="189"/>
      <c r="J4" s="189"/>
      <c r="K4" s="189"/>
      <c r="L4" s="189"/>
      <c r="M4" s="189"/>
      <c r="N4" s="190"/>
      <c r="Q4" t="s">
        <v>38</v>
      </c>
      <c r="R4" s="115">
        <f>'[1]1st Entry 2024'!$H$2</f>
        <v>22385.83</v>
      </c>
      <c r="W4" s="115">
        <f>W2-X2</f>
        <v>-20</v>
      </c>
    </row>
    <row r="5" spans="1:24" x14ac:dyDescent="0.3">
      <c r="A5" s="1"/>
      <c r="B5" s="1" t="s">
        <v>30</v>
      </c>
      <c r="C5" s="163">
        <v>1500</v>
      </c>
      <c r="D5" s="106">
        <v>500</v>
      </c>
      <c r="H5" s="188"/>
      <c r="I5" s="189"/>
      <c r="J5" s="189"/>
      <c r="K5" s="189"/>
      <c r="L5" s="189"/>
      <c r="M5" s="189"/>
      <c r="N5" s="190"/>
    </row>
    <row r="6" spans="1:24" x14ac:dyDescent="0.3">
      <c r="A6" s="1"/>
      <c r="B6" s="1" t="s">
        <v>35</v>
      </c>
      <c r="C6" s="163"/>
      <c r="D6" s="107"/>
      <c r="H6" s="188"/>
      <c r="I6" s="189"/>
      <c r="J6" s="189"/>
      <c r="K6" s="189"/>
      <c r="L6" s="189"/>
      <c r="M6" s="189"/>
      <c r="N6" s="190"/>
      <c r="O6">
        <v>1000</v>
      </c>
      <c r="Q6" t="s">
        <v>31</v>
      </c>
      <c r="R6" s="115">
        <f>SUM(R2:R4)</f>
        <v>31185.83</v>
      </c>
      <c r="S6" s="115">
        <f>SUM(S2:S4)</f>
        <v>0</v>
      </c>
    </row>
    <row r="7" spans="1:24" x14ac:dyDescent="0.3">
      <c r="A7" s="1"/>
      <c r="B7" s="1" t="s">
        <v>36</v>
      </c>
      <c r="C7" s="163"/>
      <c r="D7" s="107">
        <v>600</v>
      </c>
      <c r="H7" s="188"/>
      <c r="I7" s="189"/>
      <c r="J7" s="189"/>
      <c r="K7" s="189"/>
      <c r="L7" s="189"/>
      <c r="M7" s="189"/>
      <c r="N7" s="190"/>
      <c r="O7">
        <v>1111</v>
      </c>
    </row>
    <row r="8" spans="1:24" x14ac:dyDescent="0.3">
      <c r="A8" s="1"/>
      <c r="B8" s="1" t="s">
        <v>139</v>
      </c>
      <c r="C8" s="163"/>
      <c r="D8" s="107"/>
      <c r="H8" s="188"/>
      <c r="I8" s="189"/>
      <c r="J8" s="189"/>
      <c r="K8" s="189"/>
      <c r="L8" s="189"/>
      <c r="M8" s="189"/>
      <c r="N8" s="190"/>
      <c r="R8">
        <v>3750</v>
      </c>
    </row>
    <row r="9" spans="1:24" x14ac:dyDescent="0.3">
      <c r="A9" s="1"/>
      <c r="B9" s="1" t="s">
        <v>183</v>
      </c>
      <c r="C9" s="163"/>
      <c r="D9" s="107"/>
      <c r="H9" s="188"/>
      <c r="I9" s="189"/>
      <c r="J9" s="189"/>
      <c r="K9" s="189"/>
      <c r="L9" s="189"/>
      <c r="M9" s="189"/>
      <c r="N9" s="190"/>
      <c r="R9">
        <v>3361</v>
      </c>
    </row>
    <row r="10" spans="1:24" x14ac:dyDescent="0.3">
      <c r="A10" s="1"/>
      <c r="B10" s="1" t="s">
        <v>127</v>
      </c>
      <c r="C10" s="163"/>
      <c r="D10" s="107"/>
      <c r="H10" s="188"/>
      <c r="I10" s="189"/>
      <c r="J10" s="189"/>
      <c r="K10" s="189"/>
      <c r="L10" s="189"/>
      <c r="M10" s="189"/>
      <c r="N10" s="190"/>
    </row>
    <row r="11" spans="1:24" x14ac:dyDescent="0.3">
      <c r="A11" s="1"/>
      <c r="B11" s="1" t="s">
        <v>26</v>
      </c>
      <c r="C11" s="163"/>
      <c r="D11" s="107">
        <v>150</v>
      </c>
      <c r="H11" s="188"/>
      <c r="I11" s="189"/>
      <c r="J11" s="189"/>
      <c r="K11" s="189"/>
      <c r="L11" s="189"/>
      <c r="M11" s="189"/>
      <c r="N11" s="190"/>
      <c r="O11">
        <v>1250</v>
      </c>
    </row>
    <row r="12" spans="1:24" x14ac:dyDescent="0.3">
      <c r="A12" s="1"/>
      <c r="B12" s="1" t="s">
        <v>29</v>
      </c>
      <c r="C12" s="163"/>
      <c r="D12" s="107"/>
      <c r="H12" s="188"/>
      <c r="I12" s="189"/>
      <c r="J12" s="189"/>
      <c r="K12" s="189"/>
      <c r="L12" s="189"/>
      <c r="M12" s="189"/>
      <c r="N12" s="190"/>
      <c r="O12">
        <f>SUM(O6:O11)</f>
        <v>3361</v>
      </c>
      <c r="Q12" t="s">
        <v>138</v>
      </c>
      <c r="R12">
        <v>1500</v>
      </c>
      <c r="S12" t="s">
        <v>40</v>
      </c>
    </row>
    <row r="13" spans="1:24" x14ac:dyDescent="0.3">
      <c r="A13" s="1"/>
      <c r="B13" s="1" t="s">
        <v>102</v>
      </c>
      <c r="C13" s="163"/>
      <c r="D13" s="107">
        <f>G13-F13</f>
        <v>1527</v>
      </c>
      <c r="F13">
        <f>1000+3240+300+200</f>
        <v>4740</v>
      </c>
      <c r="G13">
        <v>6267</v>
      </c>
      <c r="H13" s="188"/>
      <c r="I13" s="189"/>
      <c r="J13" s="189"/>
      <c r="K13" s="189"/>
      <c r="L13" s="189"/>
      <c r="M13" s="189"/>
      <c r="N13" s="190"/>
      <c r="Q13" s="121" t="s">
        <v>153</v>
      </c>
      <c r="R13" s="121">
        <v>1250</v>
      </c>
      <c r="S13" t="s">
        <v>6</v>
      </c>
    </row>
    <row r="14" spans="1:24" x14ac:dyDescent="0.3">
      <c r="A14" s="1"/>
      <c r="B14" s="113" t="s">
        <v>18</v>
      </c>
      <c r="C14" s="163"/>
      <c r="D14" s="107"/>
      <c r="H14" s="188"/>
      <c r="I14" s="189"/>
      <c r="J14" s="189"/>
      <c r="K14" s="189"/>
      <c r="L14" s="189"/>
      <c r="M14" s="189"/>
      <c r="N14" s="190"/>
      <c r="Q14" s="134" t="s">
        <v>132</v>
      </c>
      <c r="R14" s="147">
        <v>2500</v>
      </c>
      <c r="S14" s="134" t="s">
        <v>140</v>
      </c>
      <c r="T14" s="134"/>
      <c r="V14" t="s">
        <v>114</v>
      </c>
      <c r="W14" s="148">
        <v>1250</v>
      </c>
    </row>
    <row r="15" spans="1:24" x14ac:dyDescent="0.3">
      <c r="A15" s="1"/>
      <c r="B15" s="1" t="s">
        <v>17</v>
      </c>
      <c r="C15" s="163"/>
      <c r="D15" s="108">
        <v>1787.27</v>
      </c>
      <c r="H15" s="188"/>
      <c r="I15" s="189"/>
      <c r="J15" s="189"/>
      <c r="K15" s="189"/>
      <c r="L15" s="189"/>
      <c r="M15" s="189"/>
      <c r="N15" s="190"/>
      <c r="Q15" s="134" t="s">
        <v>133</v>
      </c>
      <c r="R15" s="147">
        <v>3799</v>
      </c>
      <c r="S15" s="134" t="s">
        <v>6</v>
      </c>
      <c r="T15" s="134"/>
    </row>
    <row r="16" spans="1:24" x14ac:dyDescent="0.3">
      <c r="A16" s="1"/>
      <c r="B16" s="113" t="s">
        <v>37</v>
      </c>
      <c r="C16" s="164"/>
      <c r="D16" s="107"/>
      <c r="H16" s="188"/>
      <c r="I16" s="189"/>
      <c r="J16" s="189"/>
      <c r="K16" s="189"/>
      <c r="L16" s="189"/>
      <c r="M16" s="189"/>
      <c r="N16" s="190"/>
      <c r="Q16" s="134" t="s">
        <v>198</v>
      </c>
      <c r="R16" s="147">
        <v>1500</v>
      </c>
      <c r="S16" s="134" t="s">
        <v>6</v>
      </c>
      <c r="T16" s="134"/>
    </row>
    <row r="17" spans="2:26" x14ac:dyDescent="0.3">
      <c r="B17" s="1" t="s">
        <v>173</v>
      </c>
      <c r="C17">
        <v>1000</v>
      </c>
      <c r="D17" s="109">
        <v>1000</v>
      </c>
      <c r="H17" s="188"/>
      <c r="I17" s="189"/>
      <c r="J17" s="189"/>
      <c r="K17" s="189"/>
      <c r="L17" s="189"/>
      <c r="M17" s="189"/>
      <c r="N17" s="190"/>
      <c r="Q17" s="134" t="s">
        <v>134</v>
      </c>
      <c r="R17" s="147">
        <v>989</v>
      </c>
      <c r="S17" s="134" t="s">
        <v>6</v>
      </c>
      <c r="T17" s="134"/>
      <c r="X17" s="134"/>
      <c r="Y17" s="138">
        <v>687</v>
      </c>
      <c r="Z17" s="134" t="s">
        <v>162</v>
      </c>
    </row>
    <row r="18" spans="2:26" x14ac:dyDescent="0.3">
      <c r="B18" t="s">
        <v>31</v>
      </c>
      <c r="C18" s="165">
        <f>SUM(C3:C17)</f>
        <v>11500</v>
      </c>
      <c r="D18" s="165">
        <f>SUM(D3:D17)</f>
        <v>9864.27</v>
      </c>
      <c r="H18" s="188"/>
      <c r="I18" s="189"/>
      <c r="J18" s="189"/>
      <c r="K18" s="189"/>
      <c r="L18" s="189"/>
      <c r="M18" s="189"/>
      <c r="N18" s="190"/>
      <c r="Q18" s="134" t="s">
        <v>135</v>
      </c>
      <c r="R18" s="147">
        <v>1014</v>
      </c>
      <c r="S18" s="134" t="s">
        <v>6</v>
      </c>
      <c r="T18" s="134"/>
      <c r="X18" s="134"/>
      <c r="Y18" s="138">
        <v>133</v>
      </c>
      <c r="Z18" s="134" t="s">
        <v>175</v>
      </c>
    </row>
    <row r="19" spans="2:26" x14ac:dyDescent="0.3">
      <c r="H19" s="188"/>
      <c r="I19" s="189"/>
      <c r="J19" s="189"/>
      <c r="K19" s="189"/>
      <c r="L19" s="189"/>
      <c r="M19" s="189"/>
      <c r="N19" s="190"/>
      <c r="Q19" s="134" t="s">
        <v>136</v>
      </c>
      <c r="R19" s="147">
        <v>424</v>
      </c>
      <c r="S19" s="134" t="s">
        <v>6</v>
      </c>
      <c r="T19" s="134"/>
      <c r="X19" s="134"/>
      <c r="Y19" s="138">
        <v>450</v>
      </c>
      <c r="Z19" s="134" t="s">
        <v>176</v>
      </c>
    </row>
    <row r="20" spans="2:26" x14ac:dyDescent="0.3">
      <c r="B20" t="s">
        <v>39</v>
      </c>
      <c r="C20" s="111">
        <v>15000</v>
      </c>
      <c r="D20" s="111">
        <v>13000</v>
      </c>
      <c r="H20" s="188"/>
      <c r="I20" s="189"/>
      <c r="J20" s="189"/>
      <c r="K20" s="189"/>
      <c r="L20" s="189"/>
      <c r="M20" s="189"/>
      <c r="N20" s="190"/>
      <c r="Q20" s="134" t="s">
        <v>137</v>
      </c>
      <c r="R20" s="147">
        <f>975 + 503</f>
        <v>1478</v>
      </c>
      <c r="S20" s="134" t="s">
        <v>6</v>
      </c>
      <c r="T20" s="134" t="s">
        <v>160</v>
      </c>
      <c r="X20" s="134"/>
      <c r="Y20" s="134"/>
      <c r="Z20" s="134"/>
    </row>
    <row r="21" spans="2:26" x14ac:dyDescent="0.3">
      <c r="H21" s="188"/>
      <c r="I21" s="189"/>
      <c r="J21" s="189"/>
      <c r="K21" s="189"/>
      <c r="L21" s="189"/>
      <c r="M21" s="189"/>
      <c r="N21" s="190"/>
      <c r="Q21" s="134" t="s">
        <v>138</v>
      </c>
      <c r="R21" s="147">
        <v>430</v>
      </c>
      <c r="S21" s="134" t="s">
        <v>6</v>
      </c>
      <c r="T21" s="134"/>
      <c r="X21" s="134"/>
      <c r="Y21" s="134"/>
      <c r="Z21" s="134"/>
    </row>
    <row r="22" spans="2:26" x14ac:dyDescent="0.3">
      <c r="B22" t="s">
        <v>93</v>
      </c>
      <c r="C22" s="112">
        <f>C20-C18</f>
        <v>3500</v>
      </c>
      <c r="D22" s="112">
        <f>D20-D18</f>
        <v>3135.7299999999996</v>
      </c>
      <c r="H22" s="188"/>
      <c r="I22" s="189"/>
      <c r="J22" s="189"/>
      <c r="K22" s="189"/>
      <c r="L22" s="189"/>
      <c r="M22" s="189"/>
      <c r="N22" s="190"/>
      <c r="Q22" s="134" t="s">
        <v>159</v>
      </c>
      <c r="R22" s="147">
        <f>1292/2</f>
        <v>646</v>
      </c>
      <c r="S22" s="134"/>
      <c r="T22" s="134"/>
      <c r="X22" s="134"/>
      <c r="Y22" s="138" t="s">
        <v>177</v>
      </c>
      <c r="Z22" s="134"/>
    </row>
    <row r="23" spans="2:26" x14ac:dyDescent="0.3">
      <c r="H23" s="188"/>
      <c r="I23" s="189"/>
      <c r="J23" s="189"/>
      <c r="K23" s="189"/>
      <c r="L23" s="189"/>
      <c r="M23" s="189"/>
      <c r="N23" s="190"/>
      <c r="Q23" s="134" t="s">
        <v>197</v>
      </c>
      <c r="R23" s="147">
        <v>4700</v>
      </c>
      <c r="S23" s="134" t="s">
        <v>173</v>
      </c>
      <c r="T23" s="134"/>
      <c r="X23" s="134"/>
      <c r="Y23" s="138">
        <v>1270</v>
      </c>
      <c r="Z23" s="134"/>
    </row>
    <row r="24" spans="2:26" ht="15" thickBot="1" x14ac:dyDescent="0.35">
      <c r="C24" s="105"/>
      <c r="H24" s="191"/>
      <c r="I24" s="192"/>
      <c r="J24" s="192"/>
      <c r="K24" s="192"/>
      <c r="L24" s="192"/>
      <c r="M24" s="192"/>
      <c r="N24" s="193"/>
      <c r="Q24" s="134" t="s">
        <v>31</v>
      </c>
      <c r="R24" s="136">
        <f>SUM(R14:R23)</f>
        <v>17480</v>
      </c>
      <c r="S24" s="134"/>
      <c r="T24" s="134"/>
      <c r="X24" s="134"/>
      <c r="Y24" s="138">
        <v>1842</v>
      </c>
      <c r="Z24" s="134"/>
    </row>
    <row r="25" spans="2:26" x14ac:dyDescent="0.3">
      <c r="J25" t="s">
        <v>210</v>
      </c>
      <c r="K25" t="s">
        <v>127</v>
      </c>
      <c r="Q25" s="134" t="s">
        <v>139</v>
      </c>
      <c r="R25" s="136">
        <f>SUM(R15:R16,R17:R22)</f>
        <v>10280</v>
      </c>
      <c r="S25" s="134"/>
      <c r="T25" s="134"/>
    </row>
    <row r="26" spans="2:26" x14ac:dyDescent="0.3">
      <c r="B26" t="s">
        <v>57</v>
      </c>
      <c r="H26" t="s">
        <v>102</v>
      </c>
      <c r="J26">
        <v>2187</v>
      </c>
      <c r="K26">
        <f>1123-172.58</f>
        <v>950.42</v>
      </c>
      <c r="M26">
        <f>SUM(I26:K26)</f>
        <v>3137.42</v>
      </c>
      <c r="Q26" s="134" t="s">
        <v>127</v>
      </c>
      <c r="R26" s="136">
        <f>SUM(R14)</f>
        <v>2500</v>
      </c>
      <c r="S26" s="134"/>
      <c r="T26" s="134"/>
      <c r="X26" s="92">
        <v>45331</v>
      </c>
    </row>
    <row r="27" spans="2:26" x14ac:dyDescent="0.3">
      <c r="D27" s="119"/>
      <c r="H27" t="s">
        <v>183</v>
      </c>
      <c r="I27">
        <v>3004</v>
      </c>
      <c r="M27">
        <f>SUM(I27:J27)</f>
        <v>3004</v>
      </c>
      <c r="Q27" s="134" t="s">
        <v>40</v>
      </c>
      <c r="R27" s="136">
        <f>R23</f>
        <v>4700</v>
      </c>
      <c r="S27" s="134"/>
      <c r="T27" s="134"/>
      <c r="X27" s="148"/>
      <c r="Y27">
        <v>2222</v>
      </c>
      <c r="Z27" t="s">
        <v>174</v>
      </c>
    </row>
    <row r="28" spans="2:26" x14ac:dyDescent="0.3">
      <c r="K28">
        <v>7500</v>
      </c>
    </row>
    <row r="30" spans="2:26" x14ac:dyDescent="0.3">
      <c r="C30" t="s">
        <v>178</v>
      </c>
      <c r="D30" t="s">
        <v>93</v>
      </c>
      <c r="E30" t="s">
        <v>179</v>
      </c>
      <c r="O30" s="134" t="s">
        <v>169</v>
      </c>
      <c r="P30" s="134"/>
      <c r="Q30" s="135">
        <v>45318</v>
      </c>
      <c r="R30" s="134"/>
      <c r="S30" s="134"/>
      <c r="T30" s="134"/>
      <c r="U30" s="134"/>
    </row>
    <row r="31" spans="2:26" x14ac:dyDescent="0.3">
      <c r="B31" t="s">
        <v>6</v>
      </c>
      <c r="C31" t="e">
        <f>SUM(R15,R17:R21,R22,#REF!)</f>
        <v>#REF!</v>
      </c>
      <c r="D31">
        <v>7843.16</v>
      </c>
      <c r="E31" t="e">
        <f>30000-D31-C31</f>
        <v>#REF!</v>
      </c>
      <c r="O31" s="134"/>
      <c r="P31" s="134"/>
      <c r="Q31" s="134" t="s">
        <v>173</v>
      </c>
      <c r="R31" s="134">
        <v>1300</v>
      </c>
      <c r="S31" s="134"/>
      <c r="T31" s="134" t="s">
        <v>31</v>
      </c>
      <c r="U31" s="136">
        <f>SUM(R31:R39)</f>
        <v>3842</v>
      </c>
    </row>
    <row r="32" spans="2:26" x14ac:dyDescent="0.3">
      <c r="B32" t="s">
        <v>40</v>
      </c>
      <c r="C32" t="e">
        <f>SUM(#REF!,R31)</f>
        <v>#REF!</v>
      </c>
      <c r="O32" s="134"/>
      <c r="P32" s="134"/>
      <c r="Q32" s="134" t="s">
        <v>163</v>
      </c>
      <c r="R32" s="134">
        <v>100</v>
      </c>
      <c r="S32" s="134"/>
      <c r="T32" s="134"/>
      <c r="U32" s="134"/>
    </row>
    <row r="33" spans="2:22" x14ac:dyDescent="0.3">
      <c r="B33" s="31" t="s">
        <v>22</v>
      </c>
      <c r="C33">
        <v>1000</v>
      </c>
      <c r="D33">
        <v>34000</v>
      </c>
      <c r="E33">
        <f>35000-D33</f>
        <v>1000</v>
      </c>
      <c r="O33" s="134"/>
      <c r="P33" s="134"/>
      <c r="Q33" s="134"/>
      <c r="R33" s="134"/>
      <c r="S33" s="134"/>
      <c r="T33" s="134"/>
      <c r="U33" s="134"/>
    </row>
    <row r="34" spans="2:22" x14ac:dyDescent="0.3">
      <c r="B34" t="s">
        <v>140</v>
      </c>
      <c r="C34">
        <f>R14</f>
        <v>2500</v>
      </c>
      <c r="D34">
        <v>1193.03</v>
      </c>
      <c r="E34">
        <f>25000-D34-C34</f>
        <v>21306.97</v>
      </c>
      <c r="O34" s="134" t="s">
        <v>167</v>
      </c>
      <c r="P34" s="134"/>
      <c r="Q34" s="134" t="s">
        <v>161</v>
      </c>
      <c r="R34" s="134">
        <v>442</v>
      </c>
      <c r="S34" s="134"/>
      <c r="T34" s="134" t="s">
        <v>24</v>
      </c>
      <c r="U34" s="137">
        <v>1000</v>
      </c>
    </row>
    <row r="35" spans="2:22" x14ac:dyDescent="0.3">
      <c r="B35" t="s">
        <v>10</v>
      </c>
      <c r="C35">
        <f>SUM(R32:R37,R39)</f>
        <v>2242</v>
      </c>
      <c r="D35">
        <v>6548.71</v>
      </c>
      <c r="E35">
        <f>11000-D35-C35</f>
        <v>2209.29</v>
      </c>
      <c r="O35" s="134" t="s">
        <v>170</v>
      </c>
      <c r="P35" s="134"/>
      <c r="Q35" s="134" t="s">
        <v>164</v>
      </c>
      <c r="R35" s="134">
        <v>100</v>
      </c>
      <c r="S35" s="134"/>
      <c r="T35" s="134"/>
      <c r="U35" s="134"/>
    </row>
    <row r="36" spans="2:22" x14ac:dyDescent="0.3">
      <c r="O36" s="134" t="s">
        <v>170</v>
      </c>
      <c r="P36" s="134"/>
      <c r="Q36" s="134" t="s">
        <v>165</v>
      </c>
      <c r="R36" s="134">
        <v>150</v>
      </c>
      <c r="S36" s="134"/>
      <c r="T36" s="134"/>
      <c r="U36" s="134">
        <f>U31-U34</f>
        <v>2842</v>
      </c>
      <c r="V36" s="115">
        <f>U36/2+1000</f>
        <v>2421</v>
      </c>
    </row>
    <row r="37" spans="2:22" x14ac:dyDescent="0.3">
      <c r="D37" t="s">
        <v>31</v>
      </c>
      <c r="E37" t="e">
        <f>SUM(E31:E35)</f>
        <v>#REF!</v>
      </c>
      <c r="O37" s="134" t="s">
        <v>171</v>
      </c>
      <c r="P37" s="134"/>
      <c r="Q37" s="134" t="s">
        <v>162</v>
      </c>
      <c r="R37" s="134">
        <v>204</v>
      </c>
      <c r="S37" s="134"/>
      <c r="T37" s="134"/>
      <c r="U37" s="134"/>
    </row>
    <row r="38" spans="2:22" x14ac:dyDescent="0.3">
      <c r="O38" s="134" t="s">
        <v>172</v>
      </c>
      <c r="P38" s="134"/>
      <c r="Q38" s="134" t="s">
        <v>166</v>
      </c>
      <c r="R38" s="134">
        <v>300</v>
      </c>
      <c r="S38" s="134"/>
      <c r="T38" s="134"/>
      <c r="U38" s="134"/>
    </row>
    <row r="39" spans="2:22" x14ac:dyDescent="0.3">
      <c r="O39" s="134" t="s">
        <v>38</v>
      </c>
      <c r="P39" s="134"/>
      <c r="Q39" s="134" t="s">
        <v>168</v>
      </c>
      <c r="R39" s="134">
        <v>1246</v>
      </c>
      <c r="S39" s="134"/>
      <c r="T39" s="134"/>
      <c r="U39" s="134"/>
    </row>
    <row r="40" spans="2:22" x14ac:dyDescent="0.3">
      <c r="O40" s="134" t="s">
        <v>10</v>
      </c>
      <c r="P40" s="134"/>
      <c r="Q40" s="136">
        <v>1000</v>
      </c>
      <c r="R40" s="134"/>
      <c r="S40" s="134"/>
      <c r="T40" s="134"/>
      <c r="U40" s="134"/>
    </row>
    <row r="41" spans="2:22" x14ac:dyDescent="0.3">
      <c r="O41" s="134" t="s">
        <v>167</v>
      </c>
      <c r="P41" s="134"/>
      <c r="Q41" s="136">
        <v>1000</v>
      </c>
      <c r="R41" s="134"/>
      <c r="S41" s="134"/>
      <c r="T41" s="134"/>
      <c r="U41" s="134"/>
    </row>
    <row r="42" spans="2:22" x14ac:dyDescent="0.3">
      <c r="O42" s="134"/>
      <c r="P42" s="134"/>
      <c r="Q42" s="134"/>
      <c r="R42" s="134"/>
      <c r="S42" s="134"/>
      <c r="T42" s="134"/>
      <c r="U42" s="134"/>
    </row>
    <row r="43" spans="2:22" x14ac:dyDescent="0.3">
      <c r="O43" s="134"/>
      <c r="P43" s="134"/>
      <c r="Q43" s="134" t="s">
        <v>31</v>
      </c>
      <c r="R43" s="136">
        <f>SUM(Q40:Q41)</f>
        <v>2000</v>
      </c>
      <c r="S43" s="134"/>
      <c r="T43" s="134"/>
      <c r="U43" s="134"/>
    </row>
  </sheetData>
  <mergeCells count="1">
    <mergeCell ref="H2:N2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E37A-5AE2-4EBD-B69E-E92BBFF658C6}">
  <dimension ref="A1:D6"/>
  <sheetViews>
    <sheetView workbookViewId="0">
      <selection activeCell="A2" sqref="A2"/>
    </sheetView>
  </sheetViews>
  <sheetFormatPr defaultRowHeight="14.4" x14ac:dyDescent="0.3"/>
  <sheetData>
    <row r="1" spans="1:4" x14ac:dyDescent="0.3">
      <c r="A1">
        <f>15000</f>
        <v>15000</v>
      </c>
      <c r="C1">
        <v>25000</v>
      </c>
      <c r="D1" t="s">
        <v>155</v>
      </c>
    </row>
    <row r="2" spans="1:4" x14ac:dyDescent="0.3">
      <c r="A2">
        <v>31000</v>
      </c>
      <c r="C2">
        <v>45000</v>
      </c>
      <c r="D2" t="s">
        <v>22</v>
      </c>
    </row>
    <row r="3" spans="1:4" x14ac:dyDescent="0.3">
      <c r="A3">
        <v>28500</v>
      </c>
      <c r="C3">
        <v>11000</v>
      </c>
      <c r="D3" t="s">
        <v>10</v>
      </c>
    </row>
    <row r="4" spans="1:4" x14ac:dyDescent="0.3">
      <c r="A4">
        <v>5000</v>
      </c>
    </row>
    <row r="6" spans="1:4" x14ac:dyDescent="0.3">
      <c r="A6">
        <f>SUM(A1:A4)</f>
        <v>79500</v>
      </c>
      <c r="C6">
        <f>SUM(C1:C5)</f>
        <v>81000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DF99-0106-41DD-A68C-3F4DC1FBF03C}">
  <dimension ref="A1:O22"/>
  <sheetViews>
    <sheetView workbookViewId="0">
      <selection activeCell="F25" sqref="F25"/>
    </sheetView>
  </sheetViews>
  <sheetFormatPr defaultRowHeight="14.4" x14ac:dyDescent="0.3"/>
  <cols>
    <col min="1" max="1" width="13.5546875" customWidth="1"/>
    <col min="2" max="2" width="11" bestFit="1" customWidth="1"/>
    <col min="3" max="3" width="12" customWidth="1"/>
    <col min="4" max="4" width="16.21875" bestFit="1" customWidth="1"/>
    <col min="5" max="5" width="9.33203125" bestFit="1" customWidth="1"/>
    <col min="8" max="8" width="10.21875" bestFit="1" customWidth="1"/>
  </cols>
  <sheetData>
    <row r="1" spans="1:15" x14ac:dyDescent="0.3">
      <c r="A1" s="4"/>
      <c r="B1" s="144" t="s">
        <v>182</v>
      </c>
      <c r="C1" s="144" t="s">
        <v>93</v>
      </c>
      <c r="D1" s="145" t="s">
        <v>195</v>
      </c>
      <c r="E1" s="194" t="s">
        <v>193</v>
      </c>
      <c r="F1" s="194"/>
      <c r="G1" s="194"/>
      <c r="H1" s="194"/>
      <c r="I1" s="194"/>
      <c r="J1" s="194"/>
      <c r="K1" s="194"/>
      <c r="L1" s="194"/>
      <c r="M1" s="194"/>
      <c r="N1" s="194"/>
    </row>
    <row r="2" spans="1:15" x14ac:dyDescent="0.3">
      <c r="A2" s="195" t="s">
        <v>194</v>
      </c>
      <c r="B2" s="196"/>
      <c r="C2" s="196"/>
      <c r="D2" s="197"/>
      <c r="E2" s="166">
        <v>45337</v>
      </c>
      <c r="F2" s="167">
        <v>10990</v>
      </c>
      <c r="G2" s="146"/>
      <c r="H2" s="146"/>
      <c r="I2" s="146"/>
      <c r="J2" s="146"/>
      <c r="K2" s="146"/>
      <c r="L2" s="146"/>
      <c r="M2" s="146"/>
      <c r="N2" s="146"/>
      <c r="O2" s="1"/>
    </row>
    <row r="3" spans="1:15" x14ac:dyDescent="0.3">
      <c r="A3" s="34" t="s">
        <v>6</v>
      </c>
      <c r="B3" s="136">
        <v>30000</v>
      </c>
      <c r="C3" s="136">
        <f>5620.21+D3</f>
        <v>5620.21</v>
      </c>
      <c r="D3" s="127">
        <f>SUM(E3:AAB3)</f>
        <v>0</v>
      </c>
      <c r="E3" s="147"/>
      <c r="F3" s="147"/>
      <c r="G3" s="147"/>
      <c r="H3" s="147"/>
      <c r="I3" s="147"/>
      <c r="J3" s="147"/>
      <c r="K3" s="147"/>
      <c r="L3" s="147"/>
      <c r="M3" s="147"/>
      <c r="N3" s="147"/>
    </row>
    <row r="4" spans="1:15" x14ac:dyDescent="0.3">
      <c r="A4" s="34" t="s">
        <v>22</v>
      </c>
      <c r="B4" s="136">
        <v>35000</v>
      </c>
      <c r="C4" s="136">
        <f>10433.47+D4</f>
        <v>10606.05</v>
      </c>
      <c r="D4" s="127">
        <f>SUM(E4:AAB4)</f>
        <v>172.58</v>
      </c>
      <c r="E4" s="147">
        <v>172.58</v>
      </c>
      <c r="F4" s="147"/>
      <c r="G4" s="147"/>
      <c r="H4" s="147"/>
      <c r="I4" s="147"/>
      <c r="J4" s="147"/>
      <c r="K4" s="147"/>
      <c r="L4" s="147"/>
      <c r="M4" s="147"/>
      <c r="N4" s="147"/>
    </row>
    <row r="5" spans="1:15" x14ac:dyDescent="0.3">
      <c r="A5" s="34" t="s">
        <v>180</v>
      </c>
      <c r="B5" s="136">
        <v>25000</v>
      </c>
      <c r="C5" s="136">
        <f>619.01+D5</f>
        <v>1571.29</v>
      </c>
      <c r="D5" s="127">
        <f>SUM(E5:AAB5)</f>
        <v>952.28</v>
      </c>
      <c r="E5" s="147">
        <v>952.28</v>
      </c>
      <c r="F5" s="147"/>
      <c r="G5" s="147"/>
      <c r="H5" s="147"/>
      <c r="I5" s="147"/>
      <c r="J5" s="147"/>
      <c r="K5" s="147"/>
      <c r="L5" s="147"/>
      <c r="M5" s="147"/>
      <c r="N5" s="147"/>
    </row>
    <row r="6" spans="1:15" x14ac:dyDescent="0.3">
      <c r="A6" s="34" t="s">
        <v>102</v>
      </c>
      <c r="B6" s="136">
        <v>11000</v>
      </c>
      <c r="C6" s="136">
        <f>6548.71+D6</f>
        <v>11201.29</v>
      </c>
      <c r="D6" s="127">
        <f>SUM(E6:AAB6)</f>
        <v>4652.58</v>
      </c>
      <c r="E6" s="147">
        <v>4652.58</v>
      </c>
      <c r="F6" s="147"/>
      <c r="G6" s="147"/>
      <c r="H6" s="147"/>
      <c r="I6" s="147"/>
      <c r="J6" s="147"/>
      <c r="K6" s="147"/>
      <c r="L6" s="147"/>
      <c r="M6" s="147"/>
      <c r="N6" s="147"/>
    </row>
    <row r="7" spans="1:15" x14ac:dyDescent="0.3">
      <c r="A7" s="34" t="s">
        <v>181</v>
      </c>
      <c r="B7" s="136">
        <v>25000</v>
      </c>
      <c r="C7" s="136">
        <f>21648+D7</f>
        <v>21648</v>
      </c>
      <c r="D7" s="127">
        <f>SUM(E7:AAB7)</f>
        <v>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</row>
    <row r="9" spans="1:15" x14ac:dyDescent="0.3">
      <c r="A9" s="31" t="s">
        <v>19</v>
      </c>
      <c r="B9" s="115">
        <f>SUM(B3:B7)</f>
        <v>126000</v>
      </c>
      <c r="C9" s="115">
        <f>SUM(C3:C7)</f>
        <v>50646.84</v>
      </c>
      <c r="D9" s="115">
        <f>B9-C9</f>
        <v>75353.16</v>
      </c>
    </row>
    <row r="11" spans="1:15" x14ac:dyDescent="0.3">
      <c r="A11" s="198" t="s">
        <v>196</v>
      </c>
      <c r="B11" s="198"/>
      <c r="C11" s="199"/>
      <c r="D11" s="157"/>
      <c r="E11" s="158"/>
      <c r="F11" s="158"/>
      <c r="G11" s="158"/>
      <c r="H11" s="158"/>
      <c r="I11" s="158"/>
      <c r="J11" s="158"/>
      <c r="K11" s="158"/>
      <c r="L11" s="158"/>
      <c r="M11" s="158"/>
      <c r="N11" s="159"/>
    </row>
    <row r="12" spans="1:15" x14ac:dyDescent="0.3">
      <c r="A12" s="153"/>
      <c r="B12" s="153" t="s">
        <v>91</v>
      </c>
      <c r="C12" s="153" t="s">
        <v>203</v>
      </c>
      <c r="D12" s="202" t="s">
        <v>202</v>
      </c>
      <c r="E12" s="202"/>
      <c r="F12" s="202"/>
      <c r="G12" s="202"/>
      <c r="H12" s="202"/>
      <c r="I12" s="202"/>
      <c r="J12" s="202"/>
      <c r="K12" s="202"/>
      <c r="L12" s="202"/>
      <c r="M12" s="202"/>
      <c r="N12" s="202"/>
    </row>
    <row r="13" spans="1:15" x14ac:dyDescent="0.3">
      <c r="A13" s="153" t="s">
        <v>199</v>
      </c>
      <c r="B13" s="154">
        <v>18312</v>
      </c>
      <c r="C13" s="155">
        <f>B13-SUM(D13:N13)</f>
        <v>14951</v>
      </c>
      <c r="D13" s="156">
        <v>3361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3">
      <c r="A14" s="153" t="s">
        <v>40</v>
      </c>
      <c r="B14" s="154">
        <v>4700</v>
      </c>
      <c r="C14" s="15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 x14ac:dyDescent="0.3">
      <c r="A15" s="153"/>
      <c r="B15" s="153"/>
      <c r="C15" s="15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x14ac:dyDescent="0.3">
      <c r="A16" s="153" t="s">
        <v>19</v>
      </c>
      <c r="B16" s="155">
        <f>SUM(B13:B14)</f>
        <v>23012</v>
      </c>
      <c r="C16" s="15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9" x14ac:dyDescent="0.3">
      <c r="D17" s="200" t="s">
        <v>200</v>
      </c>
      <c r="E17" s="201"/>
    </row>
    <row r="18" spans="1:9" x14ac:dyDescent="0.3">
      <c r="D18" s="149" t="s">
        <v>6</v>
      </c>
      <c r="E18" s="150"/>
      <c r="F18" s="205" t="s">
        <v>204</v>
      </c>
      <c r="G18" s="206"/>
      <c r="H18" s="206"/>
    </row>
    <row r="19" spans="1:9" x14ac:dyDescent="0.3">
      <c r="D19" s="149" t="s">
        <v>22</v>
      </c>
      <c r="E19" s="150">
        <f>7500+172.07</f>
        <v>7672.07</v>
      </c>
      <c r="F19" s="203" t="s">
        <v>44</v>
      </c>
      <c r="G19" s="204"/>
      <c r="H19" s="160">
        <v>15000</v>
      </c>
    </row>
    <row r="20" spans="1:9" x14ac:dyDescent="0.3">
      <c r="D20" s="149" t="s">
        <v>180</v>
      </c>
      <c r="E20" s="150">
        <v>952.28</v>
      </c>
      <c r="F20" s="203" t="s">
        <v>109</v>
      </c>
      <c r="G20" s="204" t="s">
        <v>202</v>
      </c>
      <c r="H20" s="160">
        <f>3361+3750</f>
        <v>7111</v>
      </c>
      <c r="I20" t="s">
        <v>205</v>
      </c>
    </row>
    <row r="21" spans="1:9" x14ac:dyDescent="0.3">
      <c r="A21" t="s">
        <v>206</v>
      </c>
      <c r="B21" s="114">
        <v>23432.83</v>
      </c>
      <c r="D21" s="149" t="s">
        <v>102</v>
      </c>
      <c r="E21" s="150">
        <v>4652.4799999999996</v>
      </c>
      <c r="F21" s="203" t="s">
        <v>57</v>
      </c>
      <c r="G21" s="204" t="s">
        <v>57</v>
      </c>
      <c r="H21" s="160"/>
    </row>
    <row r="22" spans="1:9" ht="15" thickBot="1" x14ac:dyDescent="0.35">
      <c r="D22" s="151" t="s">
        <v>181</v>
      </c>
      <c r="E22" s="152">
        <v>2187</v>
      </c>
      <c r="F22" s="203" t="s">
        <v>31</v>
      </c>
      <c r="G22" s="204" t="s">
        <v>110</v>
      </c>
      <c r="H22" s="160">
        <f>SUM(H19:H21)</f>
        <v>22111</v>
      </c>
    </row>
  </sheetData>
  <mergeCells count="10">
    <mergeCell ref="F19:G19"/>
    <mergeCell ref="F20:G20"/>
    <mergeCell ref="F21:G21"/>
    <mergeCell ref="F22:G22"/>
    <mergeCell ref="F18:H18"/>
    <mergeCell ref="E1:N1"/>
    <mergeCell ref="A2:D2"/>
    <mergeCell ref="A11:C11"/>
    <mergeCell ref="D17:E17"/>
    <mergeCell ref="D12:N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66E1-6E6D-4F10-A929-9E4F52BDAD9B}">
  <dimension ref="A1:L21"/>
  <sheetViews>
    <sheetView topLeftCell="A4" workbookViewId="0">
      <selection activeCell="H9" sqref="H9"/>
    </sheetView>
  </sheetViews>
  <sheetFormatPr defaultRowHeight="14.4" x14ac:dyDescent="0.3"/>
  <cols>
    <col min="2" max="2" width="8.88671875" style="1"/>
    <col min="3" max="3" width="9.88671875" bestFit="1" customWidth="1"/>
    <col min="6" max="6" width="9.88671875" bestFit="1" customWidth="1"/>
    <col min="7" max="7" width="10.109375" bestFit="1" customWidth="1"/>
    <col min="9" max="9" width="10.109375" bestFit="1" customWidth="1"/>
    <col min="11" max="11" width="10.109375" bestFit="1" customWidth="1"/>
    <col min="12" max="12" width="9.109375" bestFit="1" customWidth="1"/>
  </cols>
  <sheetData>
    <row r="1" spans="1:12" x14ac:dyDescent="0.3">
      <c r="F1" s="134" t="s">
        <v>31</v>
      </c>
      <c r="G1" s="136">
        <f>SUM(B3:B12)</f>
        <v>17480</v>
      </c>
      <c r="I1" t="s">
        <v>106</v>
      </c>
    </row>
    <row r="2" spans="1:12" x14ac:dyDescent="0.3">
      <c r="F2" s="134" t="s">
        <v>139</v>
      </c>
      <c r="G2" s="136">
        <f>SUM(B4:B11,B14)</f>
        <v>10280</v>
      </c>
      <c r="I2" s="114">
        <v>10000</v>
      </c>
      <c r="K2" s="115">
        <f>G2+I2</f>
        <v>20280</v>
      </c>
      <c r="L2" s="115">
        <f>30000-K2</f>
        <v>9720</v>
      </c>
    </row>
    <row r="3" spans="1:12" x14ac:dyDescent="0.3">
      <c r="A3" s="134" t="s">
        <v>132</v>
      </c>
      <c r="B3" s="146">
        <v>2500</v>
      </c>
      <c r="C3" s="134" t="s">
        <v>140</v>
      </c>
      <c r="F3" s="134" t="s">
        <v>140</v>
      </c>
      <c r="G3" s="136">
        <f>SUM(B3)</f>
        <v>2500</v>
      </c>
    </row>
    <row r="4" spans="1:12" x14ac:dyDescent="0.3">
      <c r="A4" s="134" t="s">
        <v>133</v>
      </c>
      <c r="B4" s="146">
        <v>3799</v>
      </c>
      <c r="C4" s="134" t="s">
        <v>6</v>
      </c>
      <c r="F4" s="134" t="s">
        <v>40</v>
      </c>
      <c r="G4" s="136">
        <f>SUM(B12:B13)</f>
        <v>6200</v>
      </c>
    </row>
    <row r="5" spans="1:12" x14ac:dyDescent="0.3">
      <c r="A5" s="134" t="s">
        <v>198</v>
      </c>
      <c r="B5" s="146">
        <v>1500</v>
      </c>
      <c r="C5" s="134" t="s">
        <v>6</v>
      </c>
    </row>
    <row r="6" spans="1:12" x14ac:dyDescent="0.3">
      <c r="A6" s="134" t="s">
        <v>134</v>
      </c>
      <c r="B6" s="146">
        <v>989</v>
      </c>
      <c r="C6" s="134" t="s">
        <v>6</v>
      </c>
    </row>
    <row r="7" spans="1:12" x14ac:dyDescent="0.3">
      <c r="A7" s="134" t="s">
        <v>135</v>
      </c>
      <c r="B7" s="146">
        <v>1014</v>
      </c>
      <c r="C7" s="134" t="s">
        <v>6</v>
      </c>
    </row>
    <row r="8" spans="1:12" x14ac:dyDescent="0.3">
      <c r="A8" s="134" t="s">
        <v>136</v>
      </c>
      <c r="B8" s="146">
        <v>424</v>
      </c>
      <c r="C8" s="134" t="s">
        <v>6</v>
      </c>
    </row>
    <row r="9" spans="1:12" x14ac:dyDescent="0.3">
      <c r="A9" s="134" t="s">
        <v>137</v>
      </c>
      <c r="B9" s="146">
        <f>975 + 503</f>
        <v>1478</v>
      </c>
      <c r="C9" s="134" t="s">
        <v>6</v>
      </c>
    </row>
    <row r="10" spans="1:12" x14ac:dyDescent="0.3">
      <c r="A10" s="134" t="s">
        <v>138</v>
      </c>
      <c r="B10" s="146">
        <v>430</v>
      </c>
      <c r="C10" s="134" t="s">
        <v>6</v>
      </c>
    </row>
    <row r="11" spans="1:12" x14ac:dyDescent="0.3">
      <c r="A11" s="134" t="s">
        <v>159</v>
      </c>
      <c r="B11" s="146">
        <f>1292/2</f>
        <v>646</v>
      </c>
      <c r="C11" s="134" t="s">
        <v>6</v>
      </c>
    </row>
    <row r="12" spans="1:12" x14ac:dyDescent="0.3">
      <c r="A12" s="134" t="s">
        <v>197</v>
      </c>
      <c r="B12" s="146">
        <v>4700</v>
      </c>
      <c r="C12" s="134" t="s">
        <v>173</v>
      </c>
    </row>
    <row r="13" spans="1:12" x14ac:dyDescent="0.3">
      <c r="A13" s="134" t="s">
        <v>138</v>
      </c>
      <c r="B13" s="146">
        <v>1500</v>
      </c>
      <c r="C13" s="134" t="s">
        <v>40</v>
      </c>
      <c r="D13" s="3"/>
    </row>
    <row r="14" spans="1:12" x14ac:dyDescent="0.3">
      <c r="A14" s="134" t="s">
        <v>153</v>
      </c>
      <c r="B14" s="146"/>
      <c r="C14" s="134" t="s">
        <v>6</v>
      </c>
      <c r="D14" s="3"/>
    </row>
    <row r="15" spans="1:12" ht="15" customHeight="1" x14ac:dyDescent="0.3">
      <c r="A15" s="134" t="s">
        <v>191</v>
      </c>
      <c r="B15" s="146">
        <v>3240</v>
      </c>
      <c r="C15" s="134" t="s">
        <v>10</v>
      </c>
      <c r="D15" s="3"/>
    </row>
    <row r="16" spans="1:12" x14ac:dyDescent="0.3">
      <c r="A16" s="134"/>
      <c r="B16" s="146"/>
      <c r="C16" s="134"/>
    </row>
    <row r="17" spans="1:3" x14ac:dyDescent="0.3">
      <c r="A17" s="134"/>
      <c r="B17" s="146"/>
      <c r="C17" s="134"/>
    </row>
    <row r="18" spans="1:3" x14ac:dyDescent="0.3">
      <c r="A18" s="134"/>
      <c r="B18" s="146"/>
      <c r="C18" s="134"/>
    </row>
    <row r="19" spans="1:3" x14ac:dyDescent="0.3">
      <c r="A19" s="134"/>
      <c r="B19" s="146"/>
      <c r="C19" s="134"/>
    </row>
    <row r="20" spans="1:3" x14ac:dyDescent="0.3">
      <c r="A20" s="134"/>
      <c r="B20" s="146"/>
      <c r="C20" s="134"/>
    </row>
    <row r="21" spans="1:3" x14ac:dyDescent="0.3">
      <c r="A21" s="134"/>
      <c r="B21" s="146"/>
      <c r="C21" s="13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A857-75DB-4F4A-BC2A-184887AEC2AD}">
  <dimension ref="A1:Q23"/>
  <sheetViews>
    <sheetView workbookViewId="0">
      <selection activeCell="L15" sqref="L15"/>
    </sheetView>
  </sheetViews>
  <sheetFormatPr defaultRowHeight="14.4" x14ac:dyDescent="0.3"/>
  <cols>
    <col min="2" max="3" width="10.5546875" bestFit="1" customWidth="1"/>
    <col min="4" max="4" width="13.44140625" bestFit="1" customWidth="1"/>
    <col min="5" max="5" width="10.5546875" bestFit="1" customWidth="1"/>
    <col min="6" max="6" width="10.6640625" bestFit="1" customWidth="1"/>
    <col min="9" max="9" width="16.33203125" hidden="1" customWidth="1"/>
    <col min="10" max="10" width="10.5546875" hidden="1" customWidth="1"/>
    <col min="11" max="11" width="14.5546875" hidden="1" customWidth="1"/>
    <col min="13" max="13" width="11.88671875" bestFit="1" customWidth="1"/>
    <col min="15" max="15" width="10.109375" bestFit="1" customWidth="1"/>
    <col min="17" max="17" width="10.109375" bestFit="1" customWidth="1"/>
  </cols>
  <sheetData>
    <row r="1" spans="1:17" x14ac:dyDescent="0.3">
      <c r="N1" t="s">
        <v>153</v>
      </c>
      <c r="O1" s="127">
        <v>1250</v>
      </c>
      <c r="P1" t="s">
        <v>157</v>
      </c>
    </row>
    <row r="2" spans="1:17" x14ac:dyDescent="0.3">
      <c r="A2" s="3"/>
      <c r="B2" s="3">
        <v>15</v>
      </c>
      <c r="C2" s="3">
        <v>30</v>
      </c>
      <c r="D2" s="3"/>
      <c r="E2" s="3"/>
      <c r="I2" s="1"/>
      <c r="J2" s="1" t="s">
        <v>32</v>
      </c>
      <c r="K2" s="1" t="s">
        <v>33</v>
      </c>
      <c r="N2" t="s">
        <v>150</v>
      </c>
      <c r="O2">
        <v>1000</v>
      </c>
    </row>
    <row r="3" spans="1:17" x14ac:dyDescent="0.3">
      <c r="A3" s="3" t="s">
        <v>21</v>
      </c>
      <c r="B3" s="124">
        <v>14000</v>
      </c>
      <c r="C3" s="124">
        <v>12000</v>
      </c>
      <c r="D3" s="3"/>
      <c r="E3" s="3"/>
      <c r="I3" s="1" t="s">
        <v>24</v>
      </c>
      <c r="J3" s="117">
        <v>3500</v>
      </c>
      <c r="K3" s="106">
        <v>3500</v>
      </c>
      <c r="M3" t="s">
        <v>21</v>
      </c>
      <c r="N3" t="s">
        <v>146</v>
      </c>
      <c r="O3">
        <v>1500</v>
      </c>
      <c r="Q3" s="114">
        <v>4139</v>
      </c>
    </row>
    <row r="4" spans="1:17" x14ac:dyDescent="0.3">
      <c r="A4" s="3" t="s">
        <v>106</v>
      </c>
      <c r="B4" s="124">
        <v>15000</v>
      </c>
      <c r="C4" s="124">
        <v>13000</v>
      </c>
      <c r="D4" s="3"/>
      <c r="E4" s="3"/>
      <c r="I4" s="1" t="s">
        <v>34</v>
      </c>
      <c r="J4" s="106"/>
      <c r="K4" s="106">
        <v>9000</v>
      </c>
      <c r="N4" t="s">
        <v>147</v>
      </c>
      <c r="O4">
        <v>239</v>
      </c>
      <c r="Q4" s="114"/>
    </row>
    <row r="5" spans="1:17" x14ac:dyDescent="0.3">
      <c r="A5" s="3"/>
      <c r="B5" s="124"/>
      <c r="C5" s="124"/>
      <c r="D5" s="3"/>
      <c r="E5" s="3" t="s">
        <v>141</v>
      </c>
      <c r="I5" s="1" t="s">
        <v>30</v>
      </c>
      <c r="J5" s="106">
        <v>1500</v>
      </c>
      <c r="K5" s="106">
        <v>1500</v>
      </c>
      <c r="N5" t="s">
        <v>148</v>
      </c>
      <c r="O5">
        <v>150</v>
      </c>
      <c r="Q5" s="114"/>
    </row>
    <row r="6" spans="1:17" x14ac:dyDescent="0.3">
      <c r="A6" s="3"/>
      <c r="B6" s="124">
        <f>SUM(B3:B4)</f>
        <v>29000</v>
      </c>
      <c r="C6" s="124">
        <f>SUM(C3:C4)</f>
        <v>25000</v>
      </c>
      <c r="D6" s="3"/>
      <c r="E6" s="125">
        <f>SUM(B6:C6)</f>
        <v>54000</v>
      </c>
      <c r="I6" s="1" t="s">
        <v>35</v>
      </c>
      <c r="J6" s="106"/>
      <c r="K6" s="107"/>
      <c r="M6" t="s">
        <v>106</v>
      </c>
      <c r="N6" t="s">
        <v>24</v>
      </c>
      <c r="O6">
        <v>7000</v>
      </c>
      <c r="Q6" s="114"/>
    </row>
    <row r="7" spans="1:17" x14ac:dyDescent="0.3">
      <c r="B7" s="114"/>
      <c r="C7" s="114"/>
      <c r="I7" s="1" t="s">
        <v>36</v>
      </c>
      <c r="J7" s="106"/>
      <c r="K7" s="107">
        <v>1000</v>
      </c>
      <c r="N7" t="s">
        <v>149</v>
      </c>
      <c r="O7">
        <v>300</v>
      </c>
      <c r="Q7" s="114"/>
    </row>
    <row r="8" spans="1:17" x14ac:dyDescent="0.3">
      <c r="A8" s="122" t="s">
        <v>34</v>
      </c>
      <c r="B8" s="122"/>
      <c r="C8" s="120">
        <v>12000</v>
      </c>
      <c r="D8" s="122"/>
      <c r="E8" s="122"/>
      <c r="I8" s="1" t="s">
        <v>26</v>
      </c>
      <c r="J8" s="106"/>
      <c r="K8" s="107">
        <v>500</v>
      </c>
      <c r="N8" t="s">
        <v>151</v>
      </c>
      <c r="O8" s="127">
        <v>2187</v>
      </c>
      <c r="P8" t="s">
        <v>156</v>
      </c>
      <c r="Q8" s="114">
        <v>14227</v>
      </c>
    </row>
    <row r="9" spans="1:17" x14ac:dyDescent="0.3">
      <c r="A9" s="122" t="s">
        <v>36</v>
      </c>
      <c r="B9" s="122"/>
      <c r="C9" s="120">
        <v>1000</v>
      </c>
      <c r="D9" s="122"/>
      <c r="E9" s="122"/>
      <c r="I9" s="1" t="s">
        <v>29</v>
      </c>
      <c r="J9" s="106">
        <v>600</v>
      </c>
      <c r="K9" s="107">
        <v>600</v>
      </c>
      <c r="N9" t="s">
        <v>152</v>
      </c>
      <c r="O9" s="127">
        <v>3004</v>
      </c>
      <c r="P9" t="s">
        <v>157</v>
      </c>
    </row>
    <row r="10" spans="1:17" x14ac:dyDescent="0.3">
      <c r="A10" s="122" t="s">
        <v>26</v>
      </c>
      <c r="B10" s="122"/>
      <c r="C10" s="120">
        <v>500</v>
      </c>
      <c r="D10" s="122"/>
      <c r="E10" s="122"/>
      <c r="I10" s="1" t="s">
        <v>6</v>
      </c>
      <c r="J10" s="106"/>
      <c r="K10" s="107"/>
      <c r="N10" t="s">
        <v>17</v>
      </c>
      <c r="O10">
        <v>1786</v>
      </c>
    </row>
    <row r="11" spans="1:17" x14ac:dyDescent="0.3">
      <c r="A11" s="122" t="s">
        <v>30</v>
      </c>
      <c r="B11" s="122"/>
      <c r="C11" s="120">
        <v>7000</v>
      </c>
      <c r="D11" s="122"/>
      <c r="E11" s="122"/>
      <c r="I11" s="113" t="s">
        <v>18</v>
      </c>
      <c r="J11" s="117">
        <v>2187</v>
      </c>
      <c r="K11" s="107"/>
    </row>
    <row r="12" spans="1:17" x14ac:dyDescent="0.3">
      <c r="A12" s="122" t="s">
        <v>29</v>
      </c>
      <c r="B12" s="122"/>
      <c r="C12" s="120">
        <v>1200</v>
      </c>
      <c r="D12" s="122"/>
      <c r="E12" s="122"/>
      <c r="I12" s="113" t="s">
        <v>127</v>
      </c>
      <c r="J12" s="106"/>
      <c r="K12" s="107"/>
      <c r="M12" t="s">
        <v>31</v>
      </c>
      <c r="O12" s="132">
        <f>SUM(O1:O10)</f>
        <v>18416</v>
      </c>
      <c r="Q12" s="133">
        <f>E23-O12</f>
        <v>11384</v>
      </c>
    </row>
    <row r="13" spans="1:17" x14ac:dyDescent="0.3">
      <c r="A13" s="122" t="s">
        <v>138</v>
      </c>
      <c r="B13" s="122"/>
      <c r="C13" s="120">
        <v>2000</v>
      </c>
      <c r="D13" s="122"/>
      <c r="E13" s="122"/>
      <c r="I13" s="1" t="s">
        <v>17</v>
      </c>
      <c r="J13" s="106"/>
      <c r="K13" s="108">
        <v>1786</v>
      </c>
    </row>
    <row r="14" spans="1:17" x14ac:dyDescent="0.3">
      <c r="A14" s="122" t="s">
        <v>142</v>
      </c>
      <c r="B14" s="122"/>
      <c r="C14" s="120">
        <v>1500</v>
      </c>
      <c r="D14" s="122"/>
      <c r="E14" s="122"/>
      <c r="I14" s="113" t="s">
        <v>37</v>
      </c>
      <c r="J14" s="118">
        <v>3003.82</v>
      </c>
      <c r="K14" s="107"/>
    </row>
    <row r="15" spans="1:17" x14ac:dyDescent="0.3">
      <c r="A15" s="122"/>
      <c r="B15" s="120"/>
      <c r="C15" s="120"/>
      <c r="D15" s="122"/>
      <c r="E15" s="122"/>
      <c r="I15" s="113" t="s">
        <v>38</v>
      </c>
      <c r="J15" s="106"/>
      <c r="K15" s="107"/>
      <c r="M15" t="s">
        <v>154</v>
      </c>
      <c r="N15" t="s">
        <v>22</v>
      </c>
      <c r="O15">
        <v>0</v>
      </c>
    </row>
    <row r="16" spans="1:17" x14ac:dyDescent="0.3">
      <c r="A16" s="122"/>
      <c r="B16" s="120"/>
      <c r="C16" s="120">
        <f>SUM(C8:C14)</f>
        <v>25200</v>
      </c>
      <c r="D16" s="122"/>
      <c r="E16" s="123">
        <f>SUM(C16)</f>
        <v>25200</v>
      </c>
      <c r="J16" s="93"/>
      <c r="K16" s="109"/>
      <c r="N16" t="s">
        <v>6</v>
      </c>
      <c r="O16" s="114">
        <v>22000</v>
      </c>
    </row>
    <row r="17" spans="4:15" x14ac:dyDescent="0.3">
      <c r="I17" t="s">
        <v>31</v>
      </c>
      <c r="J17" s="116">
        <f>SUM(J3:J16)</f>
        <v>10790.82</v>
      </c>
      <c r="K17" s="110">
        <f>SUM(K3:K16)</f>
        <v>17886</v>
      </c>
      <c r="N17" t="s">
        <v>155</v>
      </c>
      <c r="O17" s="126">
        <v>21125</v>
      </c>
    </row>
    <row r="18" spans="4:15" x14ac:dyDescent="0.3">
      <c r="D18" t="s">
        <v>145</v>
      </c>
      <c r="E18" s="115">
        <f>E6-E16</f>
        <v>28800</v>
      </c>
    </row>
    <row r="19" spans="4:15" x14ac:dyDescent="0.3">
      <c r="E19" t="s">
        <v>144</v>
      </c>
      <c r="F19" t="s">
        <v>143</v>
      </c>
      <c r="I19" t="s">
        <v>39</v>
      </c>
      <c r="J19" s="111">
        <v>15000</v>
      </c>
      <c r="K19" s="111">
        <v>13000</v>
      </c>
      <c r="O19" s="115">
        <f>SUM(O16:O17)</f>
        <v>43125</v>
      </c>
    </row>
    <row r="20" spans="4:15" x14ac:dyDescent="0.3">
      <c r="D20" t="s">
        <v>106</v>
      </c>
      <c r="E20" s="128">
        <f>E18/2</f>
        <v>14400</v>
      </c>
      <c r="F20" s="130">
        <f>E20/2</f>
        <v>7200</v>
      </c>
    </row>
    <row r="21" spans="4:15" x14ac:dyDescent="0.3">
      <c r="D21" t="s">
        <v>21</v>
      </c>
      <c r="E21" s="128">
        <v>15400</v>
      </c>
      <c r="F21" s="130">
        <v>7700</v>
      </c>
      <c r="I21" t="s">
        <v>40</v>
      </c>
      <c r="J21" s="112">
        <f>J19-J17</f>
        <v>4209.18</v>
      </c>
      <c r="K21" s="112">
        <f>K19-K17</f>
        <v>-4886</v>
      </c>
    </row>
    <row r="22" spans="4:15" x14ac:dyDescent="0.3">
      <c r="E22" s="129"/>
      <c r="F22" s="131"/>
    </row>
    <row r="23" spans="4:15" x14ac:dyDescent="0.3">
      <c r="D23" t="s">
        <v>31</v>
      </c>
      <c r="E23" s="133">
        <f>SUM(E20:E21)</f>
        <v>29800</v>
      </c>
      <c r="F23" s="130">
        <f>SUM(F20:F21)</f>
        <v>14900</v>
      </c>
      <c r="I23" t="s">
        <v>129</v>
      </c>
      <c r="J23" s="105">
        <f>J21+K21</f>
        <v>-676.81999999999971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58BF-3E5A-4F74-83C0-6416584F9A52}">
  <dimension ref="A1:K7"/>
  <sheetViews>
    <sheetView workbookViewId="0">
      <selection activeCell="P7" sqref="P7"/>
    </sheetView>
  </sheetViews>
  <sheetFormatPr defaultRowHeight="14.4" x14ac:dyDescent="0.3"/>
  <cols>
    <col min="1" max="1" width="12.33203125" bestFit="1" customWidth="1"/>
  </cols>
  <sheetData>
    <row r="1" spans="1:11" x14ac:dyDescent="0.3">
      <c r="A1" t="s">
        <v>41</v>
      </c>
      <c r="B1">
        <v>4500</v>
      </c>
      <c r="D1" t="s">
        <v>42</v>
      </c>
    </row>
    <row r="2" spans="1:11" x14ac:dyDescent="0.3">
      <c r="B2">
        <v>7000</v>
      </c>
      <c r="E2" t="s">
        <v>34</v>
      </c>
      <c r="F2">
        <v>7600</v>
      </c>
    </row>
    <row r="3" spans="1:11" x14ac:dyDescent="0.3">
      <c r="E3" t="s">
        <v>30</v>
      </c>
      <c r="F3">
        <f>1500+2000</f>
        <v>3500</v>
      </c>
    </row>
    <row r="4" spans="1:11" x14ac:dyDescent="0.3">
      <c r="A4" t="s">
        <v>31</v>
      </c>
      <c r="B4">
        <f>SUM(B1:B2)</f>
        <v>11500</v>
      </c>
      <c r="E4" t="s">
        <v>43</v>
      </c>
      <c r="F4">
        <f>320+320</f>
        <v>640</v>
      </c>
    </row>
    <row r="6" spans="1:11" x14ac:dyDescent="0.3">
      <c r="E6" t="s">
        <v>31</v>
      </c>
      <c r="F6">
        <f>SUM(F2:F4)</f>
        <v>11740</v>
      </c>
    </row>
    <row r="7" spans="1:11" x14ac:dyDescent="0.3">
      <c r="K7">
        <f>3500/15</f>
        <v>233.33333333333334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4DAE-0BC2-4910-8F13-252F8F2F0845}">
  <dimension ref="A1:P39"/>
  <sheetViews>
    <sheetView workbookViewId="0">
      <pane ySplit="1" topLeftCell="A18" activePane="bottomLeft" state="frozen"/>
      <selection pane="bottomLeft" activeCell="E42" sqref="E42"/>
    </sheetView>
  </sheetViews>
  <sheetFormatPr defaultRowHeight="14.4" x14ac:dyDescent="0.3"/>
  <cols>
    <col min="1" max="1" width="11.5546875" bestFit="1" customWidth="1"/>
    <col min="2" max="2" width="12" bestFit="1" customWidth="1"/>
    <col min="5" max="5" width="21" bestFit="1" customWidth="1"/>
    <col min="6" max="6" width="10.88671875" customWidth="1"/>
    <col min="7" max="7" width="21" customWidth="1"/>
    <col min="8" max="8" width="12.33203125" customWidth="1"/>
    <col min="9" max="9" width="15.88671875" customWidth="1"/>
    <col min="10" max="10" width="12" customWidth="1"/>
    <col min="11" max="11" width="10.88671875" bestFit="1" customWidth="1"/>
  </cols>
  <sheetData>
    <row r="1" spans="1:13" x14ac:dyDescent="0.3">
      <c r="A1" s="170" t="s">
        <v>44</v>
      </c>
      <c r="B1" s="170"/>
      <c r="D1" s="207" t="s">
        <v>45</v>
      </c>
      <c r="E1" s="208"/>
      <c r="F1" s="95" t="s">
        <v>46</v>
      </c>
      <c r="G1" s="95" t="s">
        <v>47</v>
      </c>
      <c r="H1" s="96"/>
      <c r="I1" s="97" t="s">
        <v>48</v>
      </c>
    </row>
    <row r="2" spans="1:13" hidden="1" x14ac:dyDescent="0.3">
      <c r="A2" t="s">
        <v>49</v>
      </c>
      <c r="B2" s="89">
        <v>15000</v>
      </c>
      <c r="D2" s="98" t="s">
        <v>50</v>
      </c>
      <c r="E2" t="s">
        <v>51</v>
      </c>
      <c r="F2" s="93" t="s">
        <v>52</v>
      </c>
      <c r="G2" s="104"/>
      <c r="H2" s="104">
        <v>23988.41</v>
      </c>
      <c r="I2" s="99">
        <v>0</v>
      </c>
    </row>
    <row r="3" spans="1:13" hidden="1" x14ac:dyDescent="0.3">
      <c r="A3" t="s">
        <v>53</v>
      </c>
      <c r="B3" s="89">
        <v>31500</v>
      </c>
      <c r="D3" s="98"/>
      <c r="E3" t="s">
        <v>54</v>
      </c>
      <c r="G3" s="89"/>
      <c r="H3" s="89"/>
      <c r="I3" s="99">
        <v>944.39</v>
      </c>
    </row>
    <row r="4" spans="1:13" hidden="1" x14ac:dyDescent="0.3">
      <c r="A4" t="s">
        <v>55</v>
      </c>
      <c r="B4" s="89">
        <v>20350</v>
      </c>
      <c r="D4" s="98"/>
      <c r="E4" t="s">
        <v>56</v>
      </c>
      <c r="F4" s="93" t="s">
        <v>52</v>
      </c>
      <c r="G4" s="104">
        <v>3003</v>
      </c>
      <c r="H4" s="89"/>
      <c r="I4" s="99">
        <v>0</v>
      </c>
    </row>
    <row r="5" spans="1:13" hidden="1" x14ac:dyDescent="0.3">
      <c r="B5" s="89"/>
      <c r="D5" s="98"/>
      <c r="E5" t="s">
        <v>10</v>
      </c>
      <c r="F5" s="93" t="s">
        <v>52</v>
      </c>
      <c r="G5" s="104">
        <f>7616+2159</f>
        <v>9775</v>
      </c>
      <c r="H5" s="89"/>
      <c r="I5" s="99">
        <v>0</v>
      </c>
      <c r="J5" s="92">
        <v>45252</v>
      </c>
      <c r="K5" s="92">
        <v>45282</v>
      </c>
      <c r="L5" s="92">
        <v>45245</v>
      </c>
      <c r="M5" s="92">
        <v>45275</v>
      </c>
    </row>
    <row r="6" spans="1:13" hidden="1" x14ac:dyDescent="0.3">
      <c r="A6" t="s">
        <v>31</v>
      </c>
      <c r="B6" s="89">
        <f>SUM(B2:B4)</f>
        <v>66850</v>
      </c>
      <c r="D6" s="98"/>
      <c r="E6" t="s">
        <v>18</v>
      </c>
      <c r="F6" s="93" t="s">
        <v>52</v>
      </c>
      <c r="G6" s="104">
        <v>3373</v>
      </c>
      <c r="H6" s="89"/>
      <c r="I6" s="99"/>
      <c r="J6" s="93">
        <v>1531</v>
      </c>
      <c r="K6" s="94">
        <v>1531</v>
      </c>
      <c r="L6" s="93">
        <v>1842</v>
      </c>
      <c r="M6" s="94">
        <v>1842</v>
      </c>
    </row>
    <row r="7" spans="1:13" hidden="1" x14ac:dyDescent="0.3">
      <c r="D7" s="98"/>
      <c r="G7" s="89"/>
      <c r="H7" s="89"/>
      <c r="I7" s="99"/>
    </row>
    <row r="8" spans="1:13" hidden="1" x14ac:dyDescent="0.3">
      <c r="D8" s="98" t="s">
        <v>57</v>
      </c>
      <c r="E8" t="s">
        <v>58</v>
      </c>
      <c r="G8" s="89"/>
      <c r="H8" s="89"/>
      <c r="I8" s="99">
        <v>0</v>
      </c>
    </row>
    <row r="9" spans="1:13" hidden="1" x14ac:dyDescent="0.3">
      <c r="D9" s="98"/>
      <c r="G9" s="89"/>
      <c r="H9" s="89"/>
      <c r="I9" s="99"/>
    </row>
    <row r="10" spans="1:13" hidden="1" x14ac:dyDescent="0.3">
      <c r="D10" s="98" t="s">
        <v>25</v>
      </c>
      <c r="E10" t="s">
        <v>34</v>
      </c>
      <c r="G10" s="89"/>
      <c r="H10" s="89">
        <v>3750</v>
      </c>
      <c r="I10" s="99">
        <v>0</v>
      </c>
    </row>
    <row r="11" spans="1:13" hidden="1" x14ac:dyDescent="0.3">
      <c r="D11" s="98"/>
      <c r="E11" t="s">
        <v>30</v>
      </c>
      <c r="G11" s="89"/>
      <c r="H11" s="89">
        <v>1500</v>
      </c>
      <c r="I11" s="99"/>
      <c r="M11">
        <v>5570</v>
      </c>
    </row>
    <row r="12" spans="1:13" hidden="1" x14ac:dyDescent="0.3">
      <c r="D12" s="98"/>
      <c r="E12" t="s">
        <v>24</v>
      </c>
      <c r="F12" s="93" t="s">
        <v>52</v>
      </c>
      <c r="G12" s="104"/>
      <c r="H12" s="104">
        <v>4000</v>
      </c>
      <c r="I12" s="99">
        <v>0</v>
      </c>
      <c r="K12" s="89">
        <f>SUM(H10,H11,H13)</f>
        <v>5570</v>
      </c>
    </row>
    <row r="13" spans="1:13" hidden="1" x14ac:dyDescent="0.3">
      <c r="D13" s="98"/>
      <c r="E13" t="s">
        <v>43</v>
      </c>
      <c r="G13" s="89"/>
      <c r="H13" s="89">
        <v>320</v>
      </c>
      <c r="I13" s="99"/>
    </row>
    <row r="14" spans="1:13" hidden="1" x14ac:dyDescent="0.3">
      <c r="D14" s="98"/>
      <c r="E14" t="s">
        <v>29</v>
      </c>
      <c r="F14" s="93" t="s">
        <v>52</v>
      </c>
      <c r="G14" s="104"/>
      <c r="H14" s="104">
        <v>600</v>
      </c>
      <c r="I14" s="99">
        <v>0</v>
      </c>
    </row>
    <row r="15" spans="1:13" hidden="1" x14ac:dyDescent="0.3">
      <c r="D15" s="98"/>
      <c r="G15" s="89"/>
      <c r="H15" s="89"/>
      <c r="I15" s="99"/>
    </row>
    <row r="16" spans="1:13" hidden="1" x14ac:dyDescent="0.3">
      <c r="D16" s="100" t="s">
        <v>31</v>
      </c>
      <c r="E16" s="101"/>
      <c r="F16" s="101"/>
      <c r="G16" s="102">
        <f>SUM(G2:G14)</f>
        <v>16151</v>
      </c>
      <c r="H16" s="102">
        <f>SUM(H2:H14)</f>
        <v>34158.410000000003</v>
      </c>
      <c r="I16" s="103"/>
      <c r="J16" s="89">
        <f>SUM(G16:H16)</f>
        <v>50309.41</v>
      </c>
    </row>
    <row r="17" spans="1:16" hidden="1" x14ac:dyDescent="0.3">
      <c r="H17" s="89"/>
    </row>
    <row r="18" spans="1:16" x14ac:dyDescent="0.3">
      <c r="A18" t="s">
        <v>49</v>
      </c>
      <c r="B18" s="89">
        <v>14000</v>
      </c>
      <c r="D18" s="98" t="s">
        <v>50</v>
      </c>
      <c r="E18" t="s">
        <v>51</v>
      </c>
      <c r="G18" s="89"/>
      <c r="H18" s="104">
        <f>4273.7</f>
        <v>4273.7</v>
      </c>
      <c r="I18" s="99">
        <v>399</v>
      </c>
      <c r="O18" t="s">
        <v>59</v>
      </c>
      <c r="P18">
        <v>2000</v>
      </c>
    </row>
    <row r="19" spans="1:16" x14ac:dyDescent="0.3">
      <c r="A19" t="s">
        <v>60</v>
      </c>
      <c r="B19" s="89">
        <v>5000</v>
      </c>
      <c r="D19" s="98"/>
      <c r="E19" t="s">
        <v>54</v>
      </c>
      <c r="G19" s="89"/>
      <c r="H19" s="104">
        <v>945</v>
      </c>
      <c r="I19" s="99"/>
      <c r="P19">
        <v>320</v>
      </c>
    </row>
    <row r="20" spans="1:16" x14ac:dyDescent="0.3">
      <c r="A20" t="s">
        <v>21</v>
      </c>
      <c r="B20" s="89">
        <f>1250+1500+1000+400</f>
        <v>4150</v>
      </c>
      <c r="D20" s="98"/>
      <c r="E20" t="s">
        <v>17</v>
      </c>
      <c r="G20" s="89">
        <v>1786.27</v>
      </c>
      <c r="H20" s="104">
        <f>1786.27+25</f>
        <v>1811.27</v>
      </c>
      <c r="I20" s="99"/>
      <c r="P20">
        <v>165</v>
      </c>
    </row>
    <row r="21" spans="1:16" x14ac:dyDescent="0.3">
      <c r="B21" s="89"/>
      <c r="D21" s="98"/>
      <c r="E21" t="s">
        <v>10</v>
      </c>
      <c r="G21" s="89"/>
      <c r="H21" s="104">
        <v>3304</v>
      </c>
      <c r="I21" s="99"/>
    </row>
    <row r="22" spans="1:16" x14ac:dyDescent="0.3">
      <c r="A22" t="s">
        <v>31</v>
      </c>
      <c r="B22" s="89">
        <f>SUM(B18:B20)</f>
        <v>23150</v>
      </c>
      <c r="D22" s="98"/>
      <c r="E22" t="s">
        <v>18</v>
      </c>
      <c r="G22" s="89"/>
      <c r="I22" s="99"/>
      <c r="J22" s="89">
        <f>SUM(K6,M6)</f>
        <v>3373</v>
      </c>
      <c r="P22">
        <f>SUM(P18:P20)</f>
        <v>2485</v>
      </c>
    </row>
    <row r="23" spans="1:16" x14ac:dyDescent="0.3">
      <c r="D23" s="98"/>
      <c r="G23" s="89"/>
      <c r="H23" s="89"/>
      <c r="I23" s="99"/>
    </row>
    <row r="24" spans="1:16" x14ac:dyDescent="0.3">
      <c r="D24" s="98" t="s">
        <v>57</v>
      </c>
      <c r="E24" t="s">
        <v>58</v>
      </c>
      <c r="G24" s="89">
        <v>5000</v>
      </c>
      <c r="H24" s="104">
        <v>5000</v>
      </c>
      <c r="I24" s="99"/>
    </row>
    <row r="25" spans="1:16" x14ac:dyDescent="0.3">
      <c r="D25" s="98"/>
      <c r="G25" s="89"/>
      <c r="H25" s="89"/>
      <c r="I25" s="99"/>
      <c r="K25">
        <v>26000</v>
      </c>
    </row>
    <row r="26" spans="1:16" x14ac:dyDescent="0.3">
      <c r="D26" s="98" t="s">
        <v>25</v>
      </c>
      <c r="E26" t="s">
        <v>61</v>
      </c>
      <c r="G26" s="89"/>
      <c r="H26" s="104">
        <f>500+200</f>
        <v>700</v>
      </c>
      <c r="I26" s="99"/>
      <c r="K26">
        <v>14451.27</v>
      </c>
    </row>
    <row r="27" spans="1:16" x14ac:dyDescent="0.3">
      <c r="D27" s="98"/>
      <c r="E27" t="s">
        <v>30</v>
      </c>
      <c r="G27" s="89"/>
      <c r="H27" s="104">
        <v>1500</v>
      </c>
      <c r="I27" s="99"/>
      <c r="K27">
        <f>K25-K26</f>
        <v>11548.73</v>
      </c>
    </row>
    <row r="28" spans="1:16" x14ac:dyDescent="0.3">
      <c r="D28" s="98"/>
      <c r="E28" t="s">
        <v>24</v>
      </c>
      <c r="G28" s="89"/>
      <c r="H28" s="104">
        <v>3500</v>
      </c>
      <c r="I28" s="99">
        <v>0</v>
      </c>
      <c r="N28">
        <v>9000</v>
      </c>
    </row>
    <row r="29" spans="1:16" x14ac:dyDescent="0.3">
      <c r="D29" s="98"/>
      <c r="E29" t="s">
        <v>43</v>
      </c>
      <c r="G29" s="89"/>
      <c r="H29" s="104">
        <v>320</v>
      </c>
      <c r="I29" s="99"/>
      <c r="N29">
        <v>5000</v>
      </c>
    </row>
    <row r="30" spans="1:16" x14ac:dyDescent="0.3">
      <c r="D30" s="98"/>
      <c r="E30" t="s">
        <v>29</v>
      </c>
      <c r="G30" s="89"/>
      <c r="H30" s="89">
        <v>0</v>
      </c>
      <c r="I30" s="99"/>
    </row>
    <row r="31" spans="1:16" x14ac:dyDescent="0.3">
      <c r="D31" s="98"/>
      <c r="G31" s="89"/>
      <c r="H31" s="89"/>
      <c r="I31" s="99"/>
      <c r="N31">
        <f>SUM(N28:N29)</f>
        <v>14000</v>
      </c>
    </row>
    <row r="32" spans="1:16" x14ac:dyDescent="0.3">
      <c r="D32" s="100" t="s">
        <v>31</v>
      </c>
      <c r="E32" s="101"/>
      <c r="F32" s="101"/>
      <c r="G32" s="102">
        <f>SUM(G18:G30)</f>
        <v>6786.27</v>
      </c>
      <c r="H32" s="102">
        <f>SUM(H18:H30)</f>
        <v>21353.97</v>
      </c>
      <c r="I32" s="103"/>
    </row>
    <row r="33" spans="3:14" x14ac:dyDescent="0.3">
      <c r="N33">
        <v>2000</v>
      </c>
    </row>
    <row r="34" spans="3:14" x14ac:dyDescent="0.3">
      <c r="N34">
        <v>450</v>
      </c>
    </row>
    <row r="35" spans="3:14" x14ac:dyDescent="0.3">
      <c r="H35" t="s">
        <v>62</v>
      </c>
      <c r="I35" s="89">
        <f>B22-H32</f>
        <v>1796.0299999999988</v>
      </c>
      <c r="N35">
        <v>150</v>
      </c>
    </row>
    <row r="36" spans="3:14" x14ac:dyDescent="0.3">
      <c r="N36">
        <v>5400</v>
      </c>
    </row>
    <row r="37" spans="3:14" x14ac:dyDescent="0.3">
      <c r="N37">
        <v>2000</v>
      </c>
    </row>
    <row r="38" spans="3:14" x14ac:dyDescent="0.3">
      <c r="F38">
        <f>5502.42-4273.7</f>
        <v>1228.7200000000003</v>
      </c>
    </row>
    <row r="39" spans="3:14" x14ac:dyDescent="0.3">
      <c r="C39" t="s">
        <v>63</v>
      </c>
      <c r="I39" t="s">
        <v>64</v>
      </c>
      <c r="N39">
        <f>SUM(N33:N37)</f>
        <v>10000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F026-CBC9-4C65-AA15-04377D815E27}">
  <dimension ref="A1:H16"/>
  <sheetViews>
    <sheetView zoomScale="85" zoomScaleNormal="85" workbookViewId="0">
      <selection activeCell="B7" sqref="B7"/>
    </sheetView>
  </sheetViews>
  <sheetFormatPr defaultRowHeight="14.4" x14ac:dyDescent="0.3"/>
  <cols>
    <col min="1" max="1" width="6.5546875" bestFit="1" customWidth="1"/>
    <col min="2" max="2" width="43.6640625" bestFit="1" customWidth="1"/>
    <col min="3" max="3" width="44.6640625" bestFit="1" customWidth="1"/>
  </cols>
  <sheetData>
    <row r="1" spans="1:8" ht="15" thickBot="1" x14ac:dyDescent="0.35">
      <c r="A1" s="10" t="s">
        <v>65</v>
      </c>
      <c r="B1" s="11" t="s">
        <v>66</v>
      </c>
      <c r="C1" s="12" t="s">
        <v>67</v>
      </c>
    </row>
    <row r="2" spans="1:8" ht="15" thickBot="1" x14ac:dyDescent="0.35">
      <c r="A2" s="13">
        <v>1</v>
      </c>
      <c r="B2" s="14" t="s">
        <v>68</v>
      </c>
      <c r="C2" s="15" t="s">
        <v>69</v>
      </c>
    </row>
    <row r="3" spans="1:8" ht="15" thickBot="1" x14ac:dyDescent="0.35">
      <c r="A3" s="13">
        <v>2</v>
      </c>
      <c r="B3" s="14" t="s">
        <v>70</v>
      </c>
      <c r="C3" s="15" t="s">
        <v>71</v>
      </c>
    </row>
    <row r="4" spans="1:8" ht="15" thickBot="1" x14ac:dyDescent="0.35">
      <c r="A4" s="13" t="s">
        <v>72</v>
      </c>
      <c r="B4" s="14" t="s">
        <v>73</v>
      </c>
      <c r="C4" s="15" t="s">
        <v>74</v>
      </c>
    </row>
    <row r="5" spans="1:8" ht="15" thickBot="1" x14ac:dyDescent="0.35">
      <c r="A5" s="13" t="s">
        <v>75</v>
      </c>
      <c r="B5" s="14" t="s">
        <v>76</v>
      </c>
      <c r="C5" s="15" t="s">
        <v>77</v>
      </c>
    </row>
    <row r="6" spans="1:8" ht="15" thickBot="1" x14ac:dyDescent="0.35">
      <c r="A6" s="16" t="s">
        <v>78</v>
      </c>
      <c r="B6" s="17" t="s">
        <v>79</v>
      </c>
      <c r="C6" s="18" t="s">
        <v>80</v>
      </c>
    </row>
    <row r="8" spans="1:8" x14ac:dyDescent="0.3">
      <c r="A8">
        <v>1</v>
      </c>
      <c r="B8" s="21">
        <v>429975</v>
      </c>
      <c r="C8" s="19">
        <f>B8/13</f>
        <v>33075</v>
      </c>
    </row>
    <row r="9" spans="1:8" x14ac:dyDescent="0.3">
      <c r="A9">
        <v>2</v>
      </c>
      <c r="B9" s="19">
        <f>C8</f>
        <v>33075</v>
      </c>
      <c r="C9" s="19">
        <f>(B9*12)/260</f>
        <v>1526.5384615384614</v>
      </c>
      <c r="F9" s="24"/>
      <c r="H9" s="25"/>
    </row>
    <row r="10" spans="1:8" x14ac:dyDescent="0.3">
      <c r="A10">
        <v>3</v>
      </c>
      <c r="B10" s="19">
        <f>C9</f>
        <v>1526.5384615384614</v>
      </c>
      <c r="C10" s="19">
        <f>B10*3</f>
        <v>4579.6153846153848</v>
      </c>
    </row>
    <row r="11" spans="1:8" x14ac:dyDescent="0.3">
      <c r="A11">
        <v>4</v>
      </c>
      <c r="B11" s="20">
        <f>C8</f>
        <v>33075</v>
      </c>
      <c r="C11" s="20">
        <f>(B11*13)+2769.23</f>
        <v>432744.23</v>
      </c>
    </row>
    <row r="12" spans="1:8" x14ac:dyDescent="0.3">
      <c r="A12">
        <v>5</v>
      </c>
      <c r="B12" s="20">
        <f>C11</f>
        <v>432744.23</v>
      </c>
      <c r="C12" s="20">
        <f>B12/13</f>
        <v>33288.017692307694</v>
      </c>
    </row>
    <row r="15" spans="1:8" ht="46.2" x14ac:dyDescent="0.85">
      <c r="B15" s="23" t="s">
        <v>81</v>
      </c>
      <c r="C15" s="22">
        <f>C12</f>
        <v>33288.017692307694</v>
      </c>
    </row>
    <row r="16" spans="1:8" ht="46.2" x14ac:dyDescent="0.85">
      <c r="B16" s="23" t="s">
        <v>82</v>
      </c>
      <c r="C16" s="22">
        <f>(C12*12)/260</f>
        <v>1536.3700473372783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67B8-80CA-4E68-8108-6AAC4E3797D3}">
  <dimension ref="A1:Q57"/>
  <sheetViews>
    <sheetView topLeftCell="A10" zoomScale="85" zoomScaleNormal="85" workbookViewId="0">
      <selection activeCell="L15" sqref="L15"/>
    </sheetView>
  </sheetViews>
  <sheetFormatPr defaultRowHeight="14.4" x14ac:dyDescent="0.3"/>
  <cols>
    <col min="1" max="1" width="12.109375" bestFit="1" customWidth="1"/>
    <col min="2" max="2" width="12.6640625" customWidth="1"/>
    <col min="3" max="3" width="13.88671875" customWidth="1"/>
    <col min="4" max="4" width="14.109375" customWidth="1"/>
    <col min="5" max="5" width="20.44140625" bestFit="1" customWidth="1"/>
    <col min="6" max="6" width="11.109375" bestFit="1" customWidth="1"/>
    <col min="8" max="8" width="15.5546875" bestFit="1" customWidth="1"/>
    <col min="10" max="10" width="15.44140625" bestFit="1" customWidth="1"/>
    <col min="11" max="11" width="29.109375" customWidth="1"/>
    <col min="12" max="12" width="21.88671875" bestFit="1" customWidth="1"/>
    <col min="13" max="13" width="13.5546875" customWidth="1"/>
    <col min="14" max="14" width="33.5546875" bestFit="1" customWidth="1"/>
    <col min="16" max="16" width="11.109375" customWidth="1"/>
    <col min="17" max="17" width="16.44140625" customWidth="1"/>
  </cols>
  <sheetData>
    <row r="1" spans="1:17" ht="18" x14ac:dyDescent="0.35">
      <c r="A1" s="37"/>
      <c r="B1" s="51" t="s">
        <v>83</v>
      </c>
      <c r="C1" s="52"/>
      <c r="D1" s="72"/>
      <c r="E1" s="52" t="s">
        <v>84</v>
      </c>
      <c r="F1" s="45"/>
      <c r="H1" s="217" t="s">
        <v>85</v>
      </c>
      <c r="I1" s="218"/>
      <c r="J1" s="219"/>
      <c r="L1" s="209" t="s">
        <v>86</v>
      </c>
      <c r="M1" s="209"/>
      <c r="N1" s="209"/>
    </row>
    <row r="2" spans="1:17" ht="25.8" x14ac:dyDescent="0.5">
      <c r="A2" s="210" t="s">
        <v>87</v>
      </c>
      <c r="B2" s="211"/>
      <c r="C2" s="211"/>
      <c r="D2" s="211"/>
      <c r="E2" s="211"/>
      <c r="F2" s="46"/>
      <c r="H2" s="41" t="s">
        <v>88</v>
      </c>
      <c r="I2" t="s">
        <v>89</v>
      </c>
      <c r="J2" s="38" t="s">
        <v>90</v>
      </c>
      <c r="M2" s="31" t="s">
        <v>91</v>
      </c>
    </row>
    <row r="3" spans="1:17" ht="28.8" x14ac:dyDescent="0.3">
      <c r="A3" s="39"/>
      <c r="B3" s="32" t="s">
        <v>92</v>
      </c>
      <c r="C3" s="32" t="s">
        <v>93</v>
      </c>
      <c r="D3" s="33" t="s">
        <v>94</v>
      </c>
      <c r="E3" s="34" t="s">
        <v>95</v>
      </c>
      <c r="F3" s="46"/>
      <c r="H3" s="41" t="s">
        <v>96</v>
      </c>
      <c r="J3" s="67">
        <f>1500+1250</f>
        <v>2750</v>
      </c>
      <c r="K3" s="90" t="s">
        <v>97</v>
      </c>
      <c r="L3" s="70" t="s">
        <v>6</v>
      </c>
      <c r="M3" s="68">
        <f>(6*1250)-SUM(1250+0+0+0+0+0)</f>
        <v>6250</v>
      </c>
      <c r="N3" s="67" t="s">
        <v>98</v>
      </c>
      <c r="P3" s="31" t="s">
        <v>6</v>
      </c>
      <c r="Q3" s="68">
        <f>23988.41-850</f>
        <v>23138.41</v>
      </c>
    </row>
    <row r="4" spans="1:17" x14ac:dyDescent="0.3">
      <c r="A4" s="40" t="s">
        <v>22</v>
      </c>
      <c r="B4" s="35">
        <v>35000</v>
      </c>
      <c r="C4" s="36">
        <v>900</v>
      </c>
      <c r="D4" s="66">
        <f>B4-C4</f>
        <v>34100</v>
      </c>
      <c r="E4" s="53" t="s">
        <v>99</v>
      </c>
      <c r="F4" s="46"/>
      <c r="H4" s="41" t="s">
        <v>100</v>
      </c>
      <c r="I4" t="s">
        <v>101</v>
      </c>
      <c r="J4" s="68"/>
      <c r="L4" s="70" t="s">
        <v>102</v>
      </c>
      <c r="M4" s="68">
        <v>4375</v>
      </c>
      <c r="P4" s="31" t="s">
        <v>38</v>
      </c>
      <c r="Q4" s="68">
        <v>23039</v>
      </c>
    </row>
    <row r="5" spans="1:17" x14ac:dyDescent="0.3">
      <c r="A5" s="40" t="s">
        <v>6</v>
      </c>
      <c r="B5" s="35">
        <v>30000</v>
      </c>
      <c r="C5" s="36">
        <v>27000</v>
      </c>
      <c r="D5" s="66">
        <f t="shared" ref="D5:D10" si="0">B5-C5</f>
        <v>3000</v>
      </c>
      <c r="E5" s="53" t="s">
        <v>103</v>
      </c>
      <c r="F5" s="46"/>
      <c r="H5" s="41" t="s">
        <v>39</v>
      </c>
      <c r="I5" t="s">
        <v>104</v>
      </c>
      <c r="J5" s="68">
        <v>13000</v>
      </c>
      <c r="L5" s="70" t="s">
        <v>105</v>
      </c>
      <c r="M5" s="68">
        <f>1531+1530+1842+1842</f>
        <v>6745</v>
      </c>
      <c r="P5" s="31" t="s">
        <v>18</v>
      </c>
      <c r="Q5" s="68">
        <v>6745</v>
      </c>
    </row>
    <row r="6" spans="1:17" x14ac:dyDescent="0.3">
      <c r="A6" s="40" t="s">
        <v>102</v>
      </c>
      <c r="B6" s="35">
        <v>11000</v>
      </c>
      <c r="C6" s="36">
        <v>7285</v>
      </c>
      <c r="D6" s="66">
        <f t="shared" si="0"/>
        <v>3715</v>
      </c>
      <c r="E6" s="53" t="s">
        <v>106</v>
      </c>
      <c r="F6" s="46"/>
      <c r="H6" s="41" t="s">
        <v>53</v>
      </c>
      <c r="I6" t="s">
        <v>101</v>
      </c>
      <c r="J6" s="67"/>
      <c r="L6" s="70" t="s">
        <v>17</v>
      </c>
      <c r="M6" s="68">
        <v>33939.129999999997</v>
      </c>
      <c r="P6" s="31" t="s">
        <v>58</v>
      </c>
      <c r="Q6" s="68">
        <v>5000</v>
      </c>
    </row>
    <row r="7" spans="1:17" ht="14.4" customHeight="1" x14ac:dyDescent="0.3">
      <c r="A7" s="40" t="s">
        <v>105</v>
      </c>
      <c r="B7" s="35">
        <v>17500</v>
      </c>
      <c r="C7" s="36">
        <v>17500</v>
      </c>
      <c r="D7" s="66">
        <f t="shared" si="0"/>
        <v>0</v>
      </c>
      <c r="E7" s="53" t="s">
        <v>106</v>
      </c>
      <c r="F7" s="46"/>
      <c r="H7" s="41" t="s">
        <v>60</v>
      </c>
      <c r="I7" t="s">
        <v>104</v>
      </c>
      <c r="J7" s="68">
        <v>5000</v>
      </c>
      <c r="L7" s="70" t="s">
        <v>13</v>
      </c>
      <c r="M7" s="68">
        <v>23039.02</v>
      </c>
      <c r="P7" t="s">
        <v>10</v>
      </c>
      <c r="Q7" s="68">
        <v>4375</v>
      </c>
    </row>
    <row r="8" spans="1:17" ht="14.4" customHeight="1" x14ac:dyDescent="0.3">
      <c r="A8" s="40" t="s">
        <v>17</v>
      </c>
      <c r="B8" s="35">
        <v>42870.48</v>
      </c>
      <c r="C8" s="36">
        <f>COUNTIF(C32:C55,"Payed")*1786.27</f>
        <v>8931.35</v>
      </c>
      <c r="D8" s="71">
        <f t="shared" si="0"/>
        <v>33939.130000000005</v>
      </c>
      <c r="E8" s="65" t="s">
        <v>107</v>
      </c>
      <c r="F8" s="46"/>
      <c r="H8" s="41"/>
      <c r="J8" s="69">
        <f>SUM(J3:J7)</f>
        <v>20750</v>
      </c>
      <c r="L8" s="70" t="s">
        <v>16</v>
      </c>
      <c r="M8" s="68">
        <v>9011.4599999999991</v>
      </c>
    </row>
    <row r="9" spans="1:17" ht="15" thickBot="1" x14ac:dyDescent="0.35">
      <c r="A9" s="40" t="s">
        <v>13</v>
      </c>
      <c r="B9" s="35">
        <v>25000</v>
      </c>
      <c r="C9" s="36">
        <v>4000</v>
      </c>
      <c r="D9" s="66">
        <f t="shared" si="0"/>
        <v>21000</v>
      </c>
      <c r="E9" s="53" t="s">
        <v>106</v>
      </c>
      <c r="F9" s="46"/>
      <c r="H9" s="42"/>
      <c r="I9" s="43"/>
      <c r="J9" s="44"/>
    </row>
    <row r="10" spans="1:17" x14ac:dyDescent="0.3">
      <c r="A10" s="40" t="s">
        <v>16</v>
      </c>
      <c r="B10" s="35">
        <v>35824.06</v>
      </c>
      <c r="C10" s="36">
        <f>COUNTIF(C16:C27,"Payed") * 3003.82</f>
        <v>33042.020000000004</v>
      </c>
      <c r="D10" s="71">
        <f t="shared" si="0"/>
        <v>2782.0399999999936</v>
      </c>
      <c r="E10" s="65" t="s">
        <v>107</v>
      </c>
      <c r="F10" s="46"/>
      <c r="L10" s="70" t="s">
        <v>108</v>
      </c>
      <c r="M10" s="89">
        <f>SUM(M3:M8)</f>
        <v>83359.609999999986</v>
      </c>
      <c r="P10" t="s">
        <v>109</v>
      </c>
      <c r="Q10" s="68">
        <f>SUM(Q3:Q8)</f>
        <v>62297.41</v>
      </c>
    </row>
    <row r="11" spans="1:17" x14ac:dyDescent="0.3">
      <c r="A11" s="41"/>
      <c r="B11" s="27"/>
      <c r="C11" s="27"/>
      <c r="D11" s="27"/>
      <c r="E11" s="27"/>
      <c r="F11" s="46"/>
    </row>
    <row r="12" spans="1:17" x14ac:dyDescent="0.3">
      <c r="A12" s="50" t="s">
        <v>110</v>
      </c>
      <c r="B12" s="36">
        <f>IF(SUM(B4:B10) = SUM(C12:D12),SUM(B4:B10),"Dept Free")</f>
        <v>197194.54</v>
      </c>
      <c r="C12" s="36">
        <f>SUM(C4:C10)</f>
        <v>98658.37000000001</v>
      </c>
      <c r="D12" s="36">
        <f>SUM(D4:D10)</f>
        <v>98536.17</v>
      </c>
      <c r="E12" s="27"/>
      <c r="F12" s="46"/>
    </row>
    <row r="13" spans="1:17" ht="15" thickBot="1" x14ac:dyDescent="0.35">
      <c r="A13" s="49"/>
      <c r="B13" s="48"/>
      <c r="C13" s="48"/>
      <c r="D13" s="48"/>
      <c r="E13" s="48"/>
      <c r="F13" s="47"/>
      <c r="K13" s="93" t="s">
        <v>111</v>
      </c>
      <c r="L13" s="93" t="s">
        <v>112</v>
      </c>
      <c r="M13" s="93" t="s">
        <v>101</v>
      </c>
      <c r="N13" s="93" t="s">
        <v>104</v>
      </c>
      <c r="O13" s="93" t="s">
        <v>113</v>
      </c>
      <c r="P13" s="93" t="s">
        <v>114</v>
      </c>
      <c r="Q13" s="104" t="s">
        <v>115</v>
      </c>
    </row>
    <row r="14" spans="1:17" ht="20.100000000000001" customHeight="1" x14ac:dyDescent="0.4">
      <c r="A14" s="212" t="s">
        <v>116</v>
      </c>
      <c r="B14" s="213"/>
      <c r="C14" s="213"/>
      <c r="D14" s="213"/>
      <c r="E14" s="214"/>
      <c r="I14" s="92"/>
      <c r="J14" t="s">
        <v>21</v>
      </c>
      <c r="L14">
        <v>1250</v>
      </c>
      <c r="M14">
        <v>1250</v>
      </c>
    </row>
    <row r="15" spans="1:17" x14ac:dyDescent="0.3">
      <c r="A15" s="62" t="s">
        <v>117</v>
      </c>
      <c r="B15" s="63" t="s">
        <v>90</v>
      </c>
      <c r="C15" s="63" t="s">
        <v>46</v>
      </c>
      <c r="D15" s="27"/>
      <c r="E15" s="46"/>
      <c r="J15" t="s">
        <v>106</v>
      </c>
      <c r="K15">
        <v>1250</v>
      </c>
    </row>
    <row r="16" spans="1:17" x14ac:dyDescent="0.3">
      <c r="A16" s="60">
        <v>45000</v>
      </c>
      <c r="B16" s="56">
        <v>3003.82</v>
      </c>
      <c r="C16" s="57" t="s">
        <v>118</v>
      </c>
      <c r="D16" s="27"/>
      <c r="E16" s="46"/>
    </row>
    <row r="17" spans="1:6" x14ac:dyDescent="0.3">
      <c r="A17" s="60">
        <v>45031</v>
      </c>
      <c r="B17" s="56">
        <v>3003.82</v>
      </c>
      <c r="C17" s="57" t="s">
        <v>118</v>
      </c>
      <c r="D17" s="27"/>
      <c r="E17" s="46"/>
    </row>
    <row r="18" spans="1:6" x14ac:dyDescent="0.3">
      <c r="A18" s="60">
        <v>45061</v>
      </c>
      <c r="B18" s="56">
        <v>3003.82</v>
      </c>
      <c r="C18" s="57" t="s">
        <v>118</v>
      </c>
      <c r="D18" s="27"/>
      <c r="E18" s="61"/>
    </row>
    <row r="19" spans="1:6" x14ac:dyDescent="0.3">
      <c r="A19" s="60">
        <v>45092</v>
      </c>
      <c r="B19" s="56">
        <v>3003.82</v>
      </c>
      <c r="C19" s="57" t="s">
        <v>118</v>
      </c>
      <c r="D19" s="27"/>
      <c r="E19" s="46"/>
    </row>
    <row r="20" spans="1:6" x14ac:dyDescent="0.3">
      <c r="A20" s="60">
        <v>45122</v>
      </c>
      <c r="B20" s="56">
        <v>3003.82</v>
      </c>
      <c r="C20" s="57" t="s">
        <v>118</v>
      </c>
      <c r="D20" s="27"/>
      <c r="E20" s="46"/>
    </row>
    <row r="21" spans="1:6" x14ac:dyDescent="0.3">
      <c r="A21" s="60">
        <v>45153</v>
      </c>
      <c r="B21" s="56">
        <v>3003.82</v>
      </c>
      <c r="C21" s="57" t="s">
        <v>118</v>
      </c>
      <c r="D21" s="27"/>
      <c r="E21" s="46"/>
    </row>
    <row r="22" spans="1:6" x14ac:dyDescent="0.3">
      <c r="A22" s="60">
        <v>45184</v>
      </c>
      <c r="B22" s="56">
        <v>3003.82</v>
      </c>
      <c r="C22" s="57" t="s">
        <v>118</v>
      </c>
      <c r="D22" s="27"/>
      <c r="E22" s="46"/>
    </row>
    <row r="23" spans="1:6" x14ac:dyDescent="0.3">
      <c r="A23" s="60">
        <v>45214</v>
      </c>
      <c r="B23" s="56">
        <v>3003.82</v>
      </c>
      <c r="C23" s="57" t="s">
        <v>118</v>
      </c>
      <c r="D23" s="27"/>
      <c r="E23" s="46"/>
    </row>
    <row r="24" spans="1:6" x14ac:dyDescent="0.3">
      <c r="A24" s="60">
        <v>45245</v>
      </c>
      <c r="B24" s="56">
        <v>3003.82</v>
      </c>
      <c r="C24" s="57" t="s">
        <v>118</v>
      </c>
      <c r="D24" s="27"/>
      <c r="E24" s="46"/>
    </row>
    <row r="25" spans="1:6" x14ac:dyDescent="0.3">
      <c r="A25" s="60">
        <v>45275</v>
      </c>
      <c r="B25" s="56">
        <v>3003.82</v>
      </c>
      <c r="C25" s="57" t="s">
        <v>118</v>
      </c>
      <c r="D25" s="27"/>
      <c r="E25" s="46"/>
    </row>
    <row r="26" spans="1:6" x14ac:dyDescent="0.3">
      <c r="A26" s="60">
        <v>44941</v>
      </c>
      <c r="B26" s="56">
        <v>3003.82</v>
      </c>
      <c r="C26" s="57" t="s">
        <v>118</v>
      </c>
      <c r="D26" s="27"/>
      <c r="E26" s="46"/>
    </row>
    <row r="27" spans="1:6" x14ac:dyDescent="0.3">
      <c r="A27" s="60">
        <v>44972</v>
      </c>
      <c r="B27" s="56">
        <v>3003.82</v>
      </c>
      <c r="C27" s="57"/>
      <c r="D27" s="27"/>
      <c r="E27" s="46"/>
    </row>
    <row r="28" spans="1:6" ht="15" thickBot="1" x14ac:dyDescent="0.35">
      <c r="A28" s="54" t="s">
        <v>31</v>
      </c>
      <c r="B28" s="55">
        <f>COUNTIF(C16:C27,"") * 3003.82</f>
        <v>3003.82</v>
      </c>
      <c r="C28" s="48"/>
      <c r="D28" s="48"/>
      <c r="E28" s="47"/>
    </row>
    <row r="29" spans="1:6" ht="21.6" thickBot="1" x14ac:dyDescent="0.45">
      <c r="A29" s="215" t="s">
        <v>17</v>
      </c>
      <c r="B29" s="215"/>
      <c r="C29" s="215"/>
      <c r="D29" s="215"/>
      <c r="E29" s="215"/>
    </row>
    <row r="30" spans="1:6" ht="13.5" customHeight="1" x14ac:dyDescent="0.3">
      <c r="A30" s="58" t="s">
        <v>117</v>
      </c>
      <c r="B30" s="59" t="s">
        <v>90</v>
      </c>
      <c r="C30" s="59" t="s">
        <v>46</v>
      </c>
      <c r="D30" s="59" t="s">
        <v>119</v>
      </c>
      <c r="E30" s="45"/>
      <c r="F30" s="73" t="s">
        <v>64</v>
      </c>
    </row>
    <row r="31" spans="1:6" x14ac:dyDescent="0.3">
      <c r="A31" s="60">
        <v>45078</v>
      </c>
      <c r="B31" s="56">
        <v>0</v>
      </c>
      <c r="C31" s="57"/>
      <c r="D31" s="28">
        <v>0</v>
      </c>
      <c r="E31" s="46"/>
    </row>
    <row r="32" spans="1:6" x14ac:dyDescent="0.3">
      <c r="A32" s="60">
        <v>45108</v>
      </c>
      <c r="B32" s="56">
        <v>1787</v>
      </c>
      <c r="C32" s="57" t="s">
        <v>118</v>
      </c>
      <c r="D32" s="28">
        <f t="shared" ref="D32:D54" si="1">1786.27-B32</f>
        <v>-0.73000000000001819</v>
      </c>
      <c r="E32" s="46"/>
    </row>
    <row r="33" spans="1:5" x14ac:dyDescent="0.3">
      <c r="A33" s="60">
        <v>45139</v>
      </c>
      <c r="B33" s="56">
        <v>1787</v>
      </c>
      <c r="C33" s="57" t="s">
        <v>118</v>
      </c>
      <c r="D33" s="28">
        <f t="shared" si="1"/>
        <v>-0.73000000000001819</v>
      </c>
      <c r="E33" s="61"/>
    </row>
    <row r="34" spans="1:5" x14ac:dyDescent="0.3">
      <c r="A34" s="60">
        <v>45170</v>
      </c>
      <c r="B34" s="56">
        <v>1786.27</v>
      </c>
      <c r="C34" s="57" t="s">
        <v>118</v>
      </c>
      <c r="D34" s="28">
        <f t="shared" si="1"/>
        <v>0</v>
      </c>
      <c r="E34" s="46"/>
    </row>
    <row r="35" spans="1:5" x14ac:dyDescent="0.3">
      <c r="A35" s="60">
        <v>45200</v>
      </c>
      <c r="B35" s="56">
        <v>1786.27</v>
      </c>
      <c r="C35" s="57" t="s">
        <v>118</v>
      </c>
      <c r="D35" s="28">
        <f t="shared" si="1"/>
        <v>0</v>
      </c>
      <c r="E35" s="46"/>
    </row>
    <row r="36" spans="1:5" x14ac:dyDescent="0.3">
      <c r="A36" s="60">
        <v>45231</v>
      </c>
      <c r="B36" s="56">
        <v>1786.27</v>
      </c>
      <c r="C36" s="57" t="s">
        <v>118</v>
      </c>
      <c r="D36" s="28">
        <f t="shared" si="1"/>
        <v>0</v>
      </c>
      <c r="E36" s="46"/>
    </row>
    <row r="37" spans="1:5" x14ac:dyDescent="0.3">
      <c r="A37" s="60">
        <v>45261</v>
      </c>
      <c r="B37" s="56">
        <v>1786.27</v>
      </c>
      <c r="C37" s="57"/>
      <c r="D37" s="28">
        <f t="shared" si="1"/>
        <v>0</v>
      </c>
      <c r="E37" s="46"/>
    </row>
    <row r="38" spans="1:5" x14ac:dyDescent="0.3">
      <c r="A38" s="60">
        <v>45292</v>
      </c>
      <c r="B38" s="56">
        <v>1786.27</v>
      </c>
      <c r="C38" s="57"/>
      <c r="D38" s="28">
        <f t="shared" si="1"/>
        <v>0</v>
      </c>
      <c r="E38" s="46"/>
    </row>
    <row r="39" spans="1:5" x14ac:dyDescent="0.3">
      <c r="A39" s="60">
        <v>45323</v>
      </c>
      <c r="B39" s="56">
        <v>1786.27</v>
      </c>
      <c r="C39" s="57"/>
      <c r="D39" s="28">
        <f t="shared" si="1"/>
        <v>0</v>
      </c>
      <c r="E39" s="46"/>
    </row>
    <row r="40" spans="1:5" x14ac:dyDescent="0.3">
      <c r="A40" s="60">
        <v>45352</v>
      </c>
      <c r="B40" s="56">
        <v>1786.27</v>
      </c>
      <c r="C40" s="57"/>
      <c r="D40" s="28">
        <f t="shared" si="1"/>
        <v>0</v>
      </c>
      <c r="E40" s="46"/>
    </row>
    <row r="41" spans="1:5" x14ac:dyDescent="0.3">
      <c r="A41" s="60">
        <v>45383</v>
      </c>
      <c r="B41" s="56">
        <v>1786.27</v>
      </c>
      <c r="C41" s="57"/>
      <c r="D41" s="28">
        <f t="shared" si="1"/>
        <v>0</v>
      </c>
      <c r="E41" s="46"/>
    </row>
    <row r="42" spans="1:5" x14ac:dyDescent="0.3">
      <c r="A42" s="60">
        <v>45413</v>
      </c>
      <c r="B42" s="56">
        <v>1786.27</v>
      </c>
      <c r="C42" s="57"/>
      <c r="D42" s="28">
        <f t="shared" si="1"/>
        <v>0</v>
      </c>
      <c r="E42" s="46"/>
    </row>
    <row r="43" spans="1:5" x14ac:dyDescent="0.3">
      <c r="A43" s="60">
        <v>45444</v>
      </c>
      <c r="B43" s="56">
        <v>1786.27</v>
      </c>
      <c r="C43" s="57"/>
      <c r="D43" s="28">
        <f t="shared" si="1"/>
        <v>0</v>
      </c>
      <c r="E43" s="46"/>
    </row>
    <row r="44" spans="1:5" x14ac:dyDescent="0.3">
      <c r="A44" s="60">
        <v>45474</v>
      </c>
      <c r="B44" s="56">
        <v>1786.27</v>
      </c>
      <c r="C44" s="57"/>
      <c r="D44" s="28">
        <f t="shared" si="1"/>
        <v>0</v>
      </c>
      <c r="E44" s="46"/>
    </row>
    <row r="45" spans="1:5" x14ac:dyDescent="0.3">
      <c r="A45" s="60">
        <v>45505</v>
      </c>
      <c r="B45" s="56">
        <v>1786.27</v>
      </c>
      <c r="C45" s="57"/>
      <c r="D45" s="28">
        <f t="shared" si="1"/>
        <v>0</v>
      </c>
      <c r="E45" s="46"/>
    </row>
    <row r="46" spans="1:5" x14ac:dyDescent="0.3">
      <c r="A46" s="60">
        <v>45536</v>
      </c>
      <c r="B46" s="56">
        <v>1786.27</v>
      </c>
      <c r="C46" s="57"/>
      <c r="D46" s="28">
        <f t="shared" si="1"/>
        <v>0</v>
      </c>
      <c r="E46" s="46"/>
    </row>
    <row r="47" spans="1:5" x14ac:dyDescent="0.3">
      <c r="A47" s="60">
        <v>45566</v>
      </c>
      <c r="B47" s="56">
        <v>1786.27</v>
      </c>
      <c r="C47" s="57"/>
      <c r="D47" s="28">
        <f t="shared" si="1"/>
        <v>0</v>
      </c>
      <c r="E47" s="46"/>
    </row>
    <row r="48" spans="1:5" x14ac:dyDescent="0.3">
      <c r="A48" s="60">
        <v>45597</v>
      </c>
      <c r="B48" s="56">
        <v>1786.27</v>
      </c>
      <c r="C48" s="57"/>
      <c r="D48" s="28">
        <f t="shared" si="1"/>
        <v>0</v>
      </c>
      <c r="E48" s="46"/>
    </row>
    <row r="49" spans="1:5" x14ac:dyDescent="0.3">
      <c r="A49" s="60">
        <v>45627</v>
      </c>
      <c r="B49" s="56">
        <v>1786.27</v>
      </c>
      <c r="C49" s="57"/>
      <c r="D49" s="28">
        <f t="shared" si="1"/>
        <v>0</v>
      </c>
      <c r="E49" s="46"/>
    </row>
    <row r="50" spans="1:5" x14ac:dyDescent="0.3">
      <c r="A50" s="60">
        <v>45658</v>
      </c>
      <c r="B50" s="56">
        <v>1786.27</v>
      </c>
      <c r="C50" s="57"/>
      <c r="D50" s="28">
        <f t="shared" si="1"/>
        <v>0</v>
      </c>
      <c r="E50" s="46"/>
    </row>
    <row r="51" spans="1:5" x14ac:dyDescent="0.3">
      <c r="A51" s="60">
        <v>45689</v>
      </c>
      <c r="B51" s="56">
        <v>1786.27</v>
      </c>
      <c r="C51" s="57"/>
      <c r="D51" s="28">
        <f t="shared" si="1"/>
        <v>0</v>
      </c>
      <c r="E51" s="46"/>
    </row>
    <row r="52" spans="1:5" x14ac:dyDescent="0.3">
      <c r="A52" s="60">
        <v>45717</v>
      </c>
      <c r="B52" s="56">
        <v>1786.27</v>
      </c>
      <c r="C52" s="57"/>
      <c r="D52" s="28">
        <f t="shared" si="1"/>
        <v>0</v>
      </c>
      <c r="E52" s="46"/>
    </row>
    <row r="53" spans="1:5" x14ac:dyDescent="0.3">
      <c r="A53" s="60">
        <v>45748</v>
      </c>
      <c r="B53" s="56">
        <v>1786.27</v>
      </c>
      <c r="C53" s="57"/>
      <c r="D53" s="28">
        <f t="shared" si="1"/>
        <v>0</v>
      </c>
      <c r="E53" s="46"/>
    </row>
    <row r="54" spans="1:5" x14ac:dyDescent="0.3">
      <c r="A54" s="60">
        <v>45778</v>
      </c>
      <c r="B54" s="56">
        <v>1786.27</v>
      </c>
      <c r="C54" s="57"/>
      <c r="D54" s="28">
        <f t="shared" si="1"/>
        <v>0</v>
      </c>
      <c r="E54" s="46"/>
    </row>
    <row r="55" spans="1:5" x14ac:dyDescent="0.3">
      <c r="A55" s="60">
        <v>45809</v>
      </c>
      <c r="B55" s="56">
        <v>1780.37</v>
      </c>
      <c r="C55" s="57"/>
      <c r="D55" s="28">
        <f>SUM(D31:D54)</f>
        <v>-1.4600000000000364</v>
      </c>
      <c r="E55" s="46"/>
    </row>
    <row r="56" spans="1:5" ht="15" thickBot="1" x14ac:dyDescent="0.35">
      <c r="A56" s="54" t="s">
        <v>31</v>
      </c>
      <c r="B56" s="64">
        <f>COUNTIF(C32:C55,"") * 1786.27</f>
        <v>33939.129999999997</v>
      </c>
      <c r="C56" s="48"/>
      <c r="D56" s="48"/>
      <c r="E56" s="47"/>
    </row>
    <row r="57" spans="1:5" x14ac:dyDescent="0.3">
      <c r="A57" s="216"/>
      <c r="B57" s="216"/>
      <c r="C57" s="216"/>
      <c r="D57" s="216"/>
      <c r="E57" s="216"/>
    </row>
  </sheetData>
  <mergeCells count="6">
    <mergeCell ref="L1:N1"/>
    <mergeCell ref="A2:E2"/>
    <mergeCell ref="A14:E14"/>
    <mergeCell ref="A29:E29"/>
    <mergeCell ref="A57:E57"/>
    <mergeCell ref="H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E994-DBAC-43A5-A88A-8D470D3F2CB2}">
  <dimension ref="A1:E15"/>
  <sheetViews>
    <sheetView view="pageBreakPreview" zoomScaleNormal="100" zoomScaleSheetLayoutView="100" workbookViewId="0">
      <selection activeCell="L15" sqref="L15"/>
    </sheetView>
  </sheetViews>
  <sheetFormatPr defaultRowHeight="14.4" x14ac:dyDescent="0.3"/>
  <cols>
    <col min="1" max="1" width="35.6640625" bestFit="1" customWidth="1"/>
    <col min="2" max="2" width="40.5546875" bestFit="1" customWidth="1"/>
  </cols>
  <sheetData>
    <row r="1" spans="1:5" x14ac:dyDescent="0.3">
      <c r="A1" s="220" t="s">
        <v>120</v>
      </c>
      <c r="B1" s="221"/>
      <c r="C1" s="221"/>
      <c r="D1" s="221"/>
      <c r="E1" s="221"/>
    </row>
    <row r="2" spans="1:5" x14ac:dyDescent="0.3">
      <c r="A2" s="222"/>
      <c r="B2" s="223"/>
      <c r="C2" s="223"/>
      <c r="D2" s="223"/>
      <c r="E2" s="223"/>
    </row>
    <row r="3" spans="1:5" x14ac:dyDescent="0.3">
      <c r="A3" s="222"/>
      <c r="B3" s="223"/>
      <c r="C3" s="223"/>
      <c r="D3" s="223"/>
      <c r="E3" s="223"/>
    </row>
    <row r="4" spans="1:5" x14ac:dyDescent="0.3">
      <c r="A4" s="222"/>
      <c r="B4" s="223"/>
      <c r="C4" s="223"/>
      <c r="D4" s="223"/>
      <c r="E4" s="223"/>
    </row>
    <row r="5" spans="1:5" x14ac:dyDescent="0.3">
      <c r="A5" s="224" t="s">
        <v>121</v>
      </c>
      <c r="B5" s="189"/>
      <c r="C5" s="189"/>
      <c r="D5" s="189"/>
      <c r="E5" s="189"/>
    </row>
    <row r="6" spans="1:5" x14ac:dyDescent="0.3">
      <c r="A6" s="81" t="s">
        <v>122</v>
      </c>
      <c r="B6" s="26">
        <v>0</v>
      </c>
      <c r="C6" s="82" t="s">
        <v>123</v>
      </c>
      <c r="D6" s="27"/>
      <c r="E6" s="27"/>
    </row>
    <row r="7" spans="1:5" x14ac:dyDescent="0.3">
      <c r="A7" s="81" t="s">
        <v>124</v>
      </c>
      <c r="B7" s="28">
        <v>414700</v>
      </c>
      <c r="C7" s="82" t="s">
        <v>125</v>
      </c>
      <c r="D7" s="27"/>
      <c r="E7" s="27"/>
    </row>
    <row r="8" spans="1:5" x14ac:dyDescent="0.3">
      <c r="A8" s="81" t="s">
        <v>126</v>
      </c>
      <c r="B8" s="28">
        <f>B7*B6</f>
        <v>0</v>
      </c>
      <c r="C8" s="27"/>
      <c r="D8" s="27"/>
      <c r="E8" s="27"/>
    </row>
    <row r="9" spans="1:5" x14ac:dyDescent="0.3">
      <c r="A9" s="83">
        <f>B7+B8</f>
        <v>414700</v>
      </c>
      <c r="B9" s="20">
        <f>(A9/13)</f>
        <v>31900</v>
      </c>
      <c r="C9" s="27"/>
      <c r="D9" s="27"/>
      <c r="E9" s="27"/>
    </row>
    <row r="10" spans="1:5" x14ac:dyDescent="0.3">
      <c r="A10" s="84">
        <f>B9</f>
        <v>31900</v>
      </c>
      <c r="B10" s="19">
        <f>(A10*12)/260</f>
        <v>1472.3076923076924</v>
      </c>
      <c r="C10" s="27"/>
      <c r="D10" s="27"/>
      <c r="E10" s="27"/>
    </row>
    <row r="11" spans="1:5" x14ac:dyDescent="0.3">
      <c r="A11" s="85"/>
      <c r="B11" s="27"/>
      <c r="C11" s="27"/>
      <c r="D11" s="27"/>
      <c r="E11" s="27"/>
    </row>
    <row r="12" spans="1:5" x14ac:dyDescent="0.3">
      <c r="A12" s="85"/>
      <c r="B12" s="27"/>
      <c r="C12" s="27"/>
      <c r="D12" s="27"/>
      <c r="E12" s="27"/>
    </row>
    <row r="13" spans="1:5" ht="46.2" x14ac:dyDescent="0.85">
      <c r="A13" s="86" t="s">
        <v>81</v>
      </c>
      <c r="B13" s="30">
        <f>A10</f>
        <v>31900</v>
      </c>
      <c r="C13" s="27"/>
      <c r="D13" s="27"/>
      <c r="E13" s="27"/>
    </row>
    <row r="14" spans="1:5" ht="46.2" x14ac:dyDescent="0.85">
      <c r="A14" s="86" t="s">
        <v>82</v>
      </c>
      <c r="B14" s="29">
        <f>B10</f>
        <v>1472.3076923076924</v>
      </c>
      <c r="C14" s="27"/>
      <c r="D14" s="27"/>
      <c r="E14" s="27"/>
    </row>
    <row r="15" spans="1:5" ht="15" thickBot="1" x14ac:dyDescent="0.35">
      <c r="A15" s="87"/>
      <c r="B15" s="88"/>
      <c r="C15" s="88"/>
      <c r="D15" s="88"/>
      <c r="E15" s="88"/>
    </row>
  </sheetData>
  <mergeCells count="2">
    <mergeCell ref="A1:E4"/>
    <mergeCell ref="A5:E5"/>
  </mergeCells>
  <dataValidations count="1">
    <dataValidation type="list" allowBlank="1" showInputMessage="1" showErrorMessage="1" sqref="B6" xr:uid="{0FB37A81-D6F0-4F6F-956E-EA56DDF78655}">
      <formula1>"0% ,1%,2%,3%,4%,5%,6%,7%,8%,9%,10%"</formula1>
    </dataValidation>
  </dataValidations>
  <pageMargins left="0.7" right="0.7" top="0.75" bottom="0.75" header="0.3" footer="0.3"/>
  <pageSetup scale="8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C77C-C4EF-4343-B073-8733134CED26}">
  <dimension ref="A1:R23"/>
  <sheetViews>
    <sheetView workbookViewId="0">
      <selection activeCell="L15" sqref="L15"/>
    </sheetView>
  </sheetViews>
  <sheetFormatPr defaultRowHeight="14.4" x14ac:dyDescent="0.3"/>
  <cols>
    <col min="2" max="3" width="10.5546875" bestFit="1" customWidth="1"/>
    <col min="4" max="4" width="13.44140625" bestFit="1" customWidth="1"/>
    <col min="5" max="5" width="10.5546875" bestFit="1" customWidth="1"/>
    <col min="6" max="6" width="10.6640625" bestFit="1" customWidth="1"/>
    <col min="9" max="9" width="16.33203125" hidden="1" customWidth="1"/>
    <col min="10" max="10" width="10.5546875" hidden="1" customWidth="1"/>
    <col min="11" max="11" width="14.5546875" hidden="1" customWidth="1"/>
    <col min="13" max="13" width="11.88671875" bestFit="1" customWidth="1"/>
    <col min="15" max="15" width="10.5546875" bestFit="1" customWidth="1"/>
    <col min="17" max="17" width="10.5546875" bestFit="1" customWidth="1"/>
    <col min="18" max="18" width="9.5546875" bestFit="1" customWidth="1"/>
  </cols>
  <sheetData>
    <row r="1" spans="1:18" x14ac:dyDescent="0.3">
      <c r="N1" t="s">
        <v>153</v>
      </c>
      <c r="O1" s="127">
        <v>1250</v>
      </c>
      <c r="P1" t="s">
        <v>157</v>
      </c>
    </row>
    <row r="2" spans="1:18" x14ac:dyDescent="0.3">
      <c r="A2" s="3"/>
      <c r="B2" s="3">
        <v>15</v>
      </c>
      <c r="C2" s="3">
        <v>30</v>
      </c>
      <c r="D2" s="3"/>
      <c r="E2" s="3"/>
      <c r="I2" s="1"/>
      <c r="J2" s="1" t="s">
        <v>32</v>
      </c>
      <c r="K2" s="1" t="s">
        <v>33</v>
      </c>
      <c r="N2" t="s">
        <v>150</v>
      </c>
      <c r="O2">
        <v>1000</v>
      </c>
    </row>
    <row r="3" spans="1:18" x14ac:dyDescent="0.3">
      <c r="A3" s="3" t="s">
        <v>21</v>
      </c>
      <c r="B3" s="124">
        <v>14000</v>
      </c>
      <c r="C3" s="124">
        <v>12000</v>
      </c>
      <c r="D3" s="3"/>
      <c r="E3" s="3"/>
      <c r="I3" s="1" t="s">
        <v>24</v>
      </c>
      <c r="J3" s="117">
        <v>3500</v>
      </c>
      <c r="K3" s="106">
        <v>3500</v>
      </c>
      <c r="M3" t="s">
        <v>21</v>
      </c>
      <c r="N3" t="s">
        <v>146</v>
      </c>
      <c r="O3">
        <v>1500</v>
      </c>
    </row>
    <row r="4" spans="1:18" x14ac:dyDescent="0.3">
      <c r="A4" s="3" t="s">
        <v>106</v>
      </c>
      <c r="B4" s="124">
        <v>15000</v>
      </c>
      <c r="C4" s="124">
        <v>13000</v>
      </c>
      <c r="D4" s="3"/>
      <c r="E4" s="3"/>
      <c r="I4" s="1" t="s">
        <v>34</v>
      </c>
      <c r="J4" s="106"/>
      <c r="K4" s="106">
        <v>9000</v>
      </c>
      <c r="N4" t="s">
        <v>147</v>
      </c>
      <c r="O4">
        <v>239</v>
      </c>
    </row>
    <row r="5" spans="1:18" x14ac:dyDescent="0.3">
      <c r="A5" s="3"/>
      <c r="B5" s="124"/>
      <c r="C5" s="124"/>
      <c r="D5" s="3"/>
      <c r="E5" s="3" t="s">
        <v>141</v>
      </c>
      <c r="I5" s="1" t="s">
        <v>30</v>
      </c>
      <c r="J5" s="106">
        <v>1500</v>
      </c>
      <c r="K5" s="106">
        <v>1500</v>
      </c>
      <c r="N5" t="s">
        <v>148</v>
      </c>
      <c r="O5">
        <v>150</v>
      </c>
    </row>
    <row r="6" spans="1:18" x14ac:dyDescent="0.3">
      <c r="A6" s="3"/>
      <c r="B6" s="124">
        <f>SUM(B3:B4)</f>
        <v>29000</v>
      </c>
      <c r="C6" s="124">
        <f>SUM(C3:C4)</f>
        <v>25000</v>
      </c>
      <c r="D6" s="3"/>
      <c r="E6" s="125">
        <f>SUM(B6:C6)</f>
        <v>54000</v>
      </c>
      <c r="I6" s="1" t="s">
        <v>35</v>
      </c>
      <c r="J6" s="106"/>
      <c r="K6" s="107"/>
      <c r="M6" t="s">
        <v>106</v>
      </c>
      <c r="N6" t="s">
        <v>24</v>
      </c>
      <c r="O6">
        <v>7000</v>
      </c>
    </row>
    <row r="7" spans="1:18" x14ac:dyDescent="0.3">
      <c r="B7" s="114"/>
      <c r="C7" s="114"/>
      <c r="I7" s="1" t="s">
        <v>36</v>
      </c>
      <c r="J7" s="106"/>
      <c r="K7" s="107">
        <v>1000</v>
      </c>
      <c r="N7" t="s">
        <v>149</v>
      </c>
      <c r="O7">
        <v>300</v>
      </c>
    </row>
    <row r="8" spans="1:18" x14ac:dyDescent="0.3">
      <c r="A8" s="122" t="s">
        <v>34</v>
      </c>
      <c r="B8" s="122"/>
      <c r="C8" s="120">
        <v>8500</v>
      </c>
      <c r="D8" s="122"/>
      <c r="E8" s="122"/>
      <c r="I8" s="1" t="s">
        <v>26</v>
      </c>
      <c r="J8" s="106"/>
      <c r="K8" s="107">
        <v>500</v>
      </c>
      <c r="N8" t="s">
        <v>151</v>
      </c>
      <c r="O8" s="127">
        <v>2187</v>
      </c>
      <c r="P8" t="s">
        <v>156</v>
      </c>
    </row>
    <row r="9" spans="1:18" x14ac:dyDescent="0.3">
      <c r="A9" s="122" t="s">
        <v>36</v>
      </c>
      <c r="B9" s="122"/>
      <c r="C9" s="120">
        <v>1000</v>
      </c>
      <c r="D9" s="122"/>
      <c r="E9" s="122"/>
      <c r="I9" s="1" t="s">
        <v>29</v>
      </c>
      <c r="J9" s="106">
        <v>600</v>
      </c>
      <c r="K9" s="107">
        <v>600</v>
      </c>
      <c r="N9" t="s">
        <v>152</v>
      </c>
      <c r="O9" s="127">
        <v>3004</v>
      </c>
      <c r="P9" t="s">
        <v>157</v>
      </c>
    </row>
    <row r="10" spans="1:18" x14ac:dyDescent="0.3">
      <c r="A10" s="122" t="s">
        <v>26</v>
      </c>
      <c r="B10" s="122"/>
      <c r="C10" s="120">
        <v>500</v>
      </c>
      <c r="D10" s="122"/>
      <c r="E10" s="122"/>
      <c r="I10" s="1" t="s">
        <v>6</v>
      </c>
      <c r="J10" s="106"/>
      <c r="K10" s="107"/>
      <c r="N10" t="s">
        <v>17</v>
      </c>
      <c r="O10">
        <v>1786</v>
      </c>
    </row>
    <row r="11" spans="1:18" x14ac:dyDescent="0.3">
      <c r="A11" s="122" t="s">
        <v>30</v>
      </c>
      <c r="B11" s="122"/>
      <c r="C11" s="120">
        <v>7000</v>
      </c>
      <c r="D11" s="122"/>
      <c r="E11" s="122"/>
      <c r="I11" s="113" t="s">
        <v>18</v>
      </c>
      <c r="J11" s="117">
        <v>2187</v>
      </c>
      <c r="K11" s="107"/>
      <c r="Q11" t="s">
        <v>144</v>
      </c>
      <c r="R11" t="s">
        <v>158</v>
      </c>
    </row>
    <row r="12" spans="1:18" x14ac:dyDescent="0.3">
      <c r="A12" s="122" t="s">
        <v>29</v>
      </c>
      <c r="B12" s="122"/>
      <c r="C12" s="120">
        <v>1200</v>
      </c>
      <c r="D12" s="122"/>
      <c r="E12" s="122"/>
      <c r="I12" s="113" t="s">
        <v>127</v>
      </c>
      <c r="J12" s="106"/>
      <c r="K12" s="107"/>
      <c r="M12" t="s">
        <v>31</v>
      </c>
      <c r="O12" s="114">
        <f>SUM(O1:O10)</f>
        <v>18416</v>
      </c>
      <c r="Q12" s="115">
        <f>E23-O12</f>
        <v>13884</v>
      </c>
      <c r="R12" s="115">
        <f>Q12/2</f>
        <v>6942</v>
      </c>
    </row>
    <row r="13" spans="1:18" x14ac:dyDescent="0.3">
      <c r="A13" s="122" t="s">
        <v>138</v>
      </c>
      <c r="B13" s="122"/>
      <c r="C13" s="120">
        <v>2000</v>
      </c>
      <c r="D13" s="122"/>
      <c r="E13" s="122"/>
      <c r="I13" s="1" t="s">
        <v>17</v>
      </c>
      <c r="J13" s="106"/>
      <c r="K13" s="108">
        <v>1786</v>
      </c>
    </row>
    <row r="14" spans="1:18" x14ac:dyDescent="0.3">
      <c r="A14" s="122" t="s">
        <v>142</v>
      </c>
      <c r="B14" s="122"/>
      <c r="C14" s="120">
        <v>1500</v>
      </c>
      <c r="D14" s="122"/>
      <c r="E14" s="122"/>
      <c r="I14" s="113" t="s">
        <v>37</v>
      </c>
      <c r="J14" s="118">
        <v>3003.82</v>
      </c>
      <c r="K14" s="107"/>
    </row>
    <row r="15" spans="1:18" x14ac:dyDescent="0.3">
      <c r="A15" s="122"/>
      <c r="B15" s="120"/>
      <c r="C15" s="120"/>
      <c r="D15" s="122"/>
      <c r="E15" s="122"/>
      <c r="I15" s="113" t="s">
        <v>38</v>
      </c>
      <c r="J15" s="106"/>
      <c r="K15" s="107"/>
      <c r="M15" t="s">
        <v>154</v>
      </c>
      <c r="N15" t="s">
        <v>22</v>
      </c>
      <c r="O15">
        <v>0</v>
      </c>
    </row>
    <row r="16" spans="1:18" x14ac:dyDescent="0.3">
      <c r="A16" s="122"/>
      <c r="B16" s="120"/>
      <c r="C16" s="120">
        <f>SUM(C8:C14)</f>
        <v>21700</v>
      </c>
      <c r="D16" s="122"/>
      <c r="E16" s="123">
        <f>SUM(C16)</f>
        <v>21700</v>
      </c>
      <c r="J16" s="93"/>
      <c r="K16" s="109"/>
      <c r="N16" t="s">
        <v>6</v>
      </c>
      <c r="O16" s="114">
        <v>22000</v>
      </c>
    </row>
    <row r="17" spans="4:15" x14ac:dyDescent="0.3">
      <c r="I17" t="s">
        <v>31</v>
      </c>
      <c r="J17" s="116">
        <f>SUM(J3:J16)</f>
        <v>10790.82</v>
      </c>
      <c r="K17" s="110">
        <f>SUM(K3:K16)</f>
        <v>17886</v>
      </c>
      <c r="N17" t="s">
        <v>155</v>
      </c>
      <c r="O17" s="126">
        <v>21125</v>
      </c>
    </row>
    <row r="18" spans="4:15" x14ac:dyDescent="0.3">
      <c r="D18" t="s">
        <v>145</v>
      </c>
      <c r="E18" s="115">
        <f>E6-E16</f>
        <v>32300</v>
      </c>
    </row>
    <row r="19" spans="4:15" x14ac:dyDescent="0.3">
      <c r="E19" t="s">
        <v>144</v>
      </c>
      <c r="F19" t="s">
        <v>143</v>
      </c>
      <c r="I19" t="s">
        <v>39</v>
      </c>
      <c r="J19" s="111">
        <v>15000</v>
      </c>
      <c r="K19" s="111">
        <v>13000</v>
      </c>
      <c r="O19" s="115">
        <f>SUM(O16:O17)</f>
        <v>43125</v>
      </c>
    </row>
    <row r="20" spans="4:15" x14ac:dyDescent="0.3">
      <c r="D20" t="s">
        <v>106</v>
      </c>
      <c r="E20" s="115">
        <f>E18/2</f>
        <v>16150</v>
      </c>
      <c r="F20" s="115">
        <f>E20/2</f>
        <v>8075</v>
      </c>
    </row>
    <row r="21" spans="4:15" x14ac:dyDescent="0.3">
      <c r="D21" t="s">
        <v>21</v>
      </c>
      <c r="E21" s="115">
        <v>16150</v>
      </c>
      <c r="F21" s="115">
        <v>8075</v>
      </c>
      <c r="I21" t="s">
        <v>40</v>
      </c>
      <c r="J21" s="112">
        <f>J19-J17</f>
        <v>4209.18</v>
      </c>
      <c r="K21" s="112">
        <f>K19-K17</f>
        <v>-4886</v>
      </c>
    </row>
    <row r="23" spans="4:15" x14ac:dyDescent="0.3">
      <c r="D23" t="s">
        <v>31</v>
      </c>
      <c r="E23" s="115">
        <f>SUM(E20:E21)</f>
        <v>32300</v>
      </c>
      <c r="F23" s="115">
        <f>SUM(F20:F21)</f>
        <v>16150</v>
      </c>
      <c r="I23" t="s">
        <v>129</v>
      </c>
      <c r="J23" s="105">
        <f>J21+K21</f>
        <v>-676.81999999999971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643fc0-bb22-40a1-a79a-dd08f892fd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B86B9BA9C6F74894C0903BD3BF2AEC" ma:contentTypeVersion="15" ma:contentTypeDescription="Create a new document." ma:contentTypeScope="" ma:versionID="4dbb5080c314222917d26bf73c891b52">
  <xsd:schema xmlns:xsd="http://www.w3.org/2001/XMLSchema" xmlns:xs="http://www.w3.org/2001/XMLSchema" xmlns:p="http://schemas.microsoft.com/office/2006/metadata/properties" xmlns:ns3="cc643fc0-bb22-40a1-a79a-dd08f892fdd7" xmlns:ns4="6d693195-e19e-4c54-8356-0cd8c63f1f17" targetNamespace="http://schemas.microsoft.com/office/2006/metadata/properties" ma:root="true" ma:fieldsID="8119c9353c17703b6341e48da8b36d20" ns3:_="" ns4:_="">
    <xsd:import namespace="cc643fc0-bb22-40a1-a79a-dd08f892fdd7"/>
    <xsd:import namespace="6d693195-e19e-4c54-8356-0cd8c63f1f1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3fc0-bb22-40a1-a79a-dd08f892f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93195-e19e-4c54-8356-0cd8c63f1f1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B50D91-0850-4A17-9D08-1E91E7407D4D}">
  <ds:schemaRefs>
    <ds:schemaRef ds:uri="http://schemas.microsoft.com/office/2006/metadata/properties"/>
    <ds:schemaRef ds:uri="http://schemas.microsoft.com/office/infopath/2007/PartnerControls"/>
    <ds:schemaRef ds:uri="cc643fc0-bb22-40a1-a79a-dd08f892fdd7"/>
  </ds:schemaRefs>
</ds:datastoreItem>
</file>

<file path=customXml/itemProps2.xml><?xml version="1.0" encoding="utf-8"?>
<ds:datastoreItem xmlns:ds="http://schemas.openxmlformats.org/officeDocument/2006/customXml" ds:itemID="{4402331D-F98F-4DA7-9E04-71DC79AFE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643fc0-bb22-40a1-a79a-dd08f892fdd7"/>
    <ds:schemaRef ds:uri="6d693195-e19e-4c54-8356-0cd8c63f1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0E1AA4-1AFA-4278-8836-3064C4797A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Expence</vt:lpstr>
      <vt:lpstr>Monthly Budget</vt:lpstr>
      <vt:lpstr>Sheet7</vt:lpstr>
      <vt:lpstr>Sheet5</vt:lpstr>
      <vt:lpstr>Sheet4</vt:lpstr>
      <vt:lpstr>Sheet2</vt:lpstr>
      <vt:lpstr>Sheet3</vt:lpstr>
      <vt:lpstr>January</vt:lpstr>
      <vt:lpstr>Sheet6</vt:lpstr>
      <vt:lpstr>BILLS</vt:lpstr>
      <vt:lpstr>PAULA</vt:lpstr>
      <vt:lpstr>18000 Budgeting</vt:lpstr>
      <vt:lpstr>Sheet1</vt:lpstr>
      <vt:lpstr>DoneNovember</vt:lpstr>
      <vt:lpstr>September Allowance Computation</vt:lpstr>
      <vt:lpstr>Year End Setellement</vt:lpstr>
      <vt:lpstr>Salary Computation</vt:lpstr>
      <vt:lpstr>8500 Budgeting (2)</vt:lpstr>
      <vt:lpstr>'Salary Computation'!Print_Area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Cabusay, Aison</dc:creator>
  <cp:keywords/>
  <dc:description/>
  <cp:lastModifiedBy>Cabusay, Aison</cp:lastModifiedBy>
  <cp:revision/>
  <dcterms:created xsi:type="dcterms:W3CDTF">2023-08-25T05:31:46Z</dcterms:created>
  <dcterms:modified xsi:type="dcterms:W3CDTF">2024-08-21T06:21:16Z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0x0101001EB86B9BA9C6F74894C0903BD3BF2AEC</vt:lpwstr>
  </property>
</Properties>
</file>